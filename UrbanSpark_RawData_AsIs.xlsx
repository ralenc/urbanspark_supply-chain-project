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afael/Desktop/Claude_Work/:Active-Projects:/"/>
    </mc:Choice>
  </mc:AlternateContent>
  <xr:revisionPtr revIDLastSave="0" documentId="13_ncr:1_{8AB2E7CA-B51E-B54A-9CFC-DFF4EC14E460}" xr6:coauthVersionLast="47" xr6:coauthVersionMax="47" xr10:uidLastSave="{00000000-0000-0000-0000-000000000000}"/>
  <bookViews>
    <workbookView xWindow="29400" yWindow="600" windowWidth="38400" windowHeight="19200" tabRatio="500" activeTab="8" xr2:uid="{00000000-000D-0000-FFFF-FFFF00000000}"/>
  </bookViews>
  <sheets>
    <sheet name="Company_Info" sheetId="1" r:id="rId1"/>
    <sheet name="Customers" sheetId="3" r:id="rId2"/>
    <sheet name="Products_SKU" sheetId="2" r:id="rId3"/>
    <sheet name="Inventory_Costs" sheetId="6" r:id="rId4"/>
    <sheet name="Order_History_2024" sheetId="4" r:id="rId5"/>
    <sheet name="ABC_XYZ_Analysis" sheetId="9" r:id="rId6"/>
    <sheet name="Current_Routes" sheetId="5" r:id="rId7"/>
    <sheet name="Transport_Costs" sheetId="7" r:id="rId8"/>
    <sheet name="As-Is_KPIs" sheetId="10" r:id="rId9"/>
    <sheet name="Route_Optimization" sheetId="11" r:id="rId10"/>
    <sheet name="Inventory_Optimization" sheetId="16" r:id="rId11"/>
    <sheet name="LogHub_Output_All" sheetId="13" r:id="rId12"/>
    <sheet name="LogHub_Output_MUC_1&amp;2 " sheetId="15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2" i="10" l="1"/>
  <c r="E25" i="10"/>
  <c r="C25" i="10"/>
  <c r="E23" i="10"/>
  <c r="E19" i="10"/>
  <c r="E18" i="10"/>
  <c r="C18" i="10"/>
  <c r="E17" i="10"/>
  <c r="E16" i="10"/>
  <c r="E15" i="10"/>
  <c r="E14" i="10"/>
  <c r="C14" i="10" a="1"/>
  <c r="C14" i="10" s="1"/>
  <c r="C15" i="10" s="1"/>
  <c r="E12" i="10"/>
  <c r="E11" i="10"/>
  <c r="E10" i="10"/>
  <c r="E9" i="10"/>
  <c r="E7" i="10"/>
  <c r="E5" i="10"/>
  <c r="P20" i="16" a="1"/>
  <c r="P20" i="16" s="1"/>
  <c r="P19" i="16"/>
  <c r="P21" i="16" s="1"/>
  <c r="P18" i="16" a="1"/>
  <c r="P18" i="16" s="1"/>
  <c r="F2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E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B2" i="9"/>
  <c r="C2" i="9" s="1"/>
  <c r="D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G60" i="16"/>
  <c r="G61" i="16"/>
  <c r="G68" i="16"/>
  <c r="G69" i="16"/>
  <c r="F42" i="16"/>
  <c r="G42" i="16" s="1"/>
  <c r="F43" i="16"/>
  <c r="G43" i="16" s="1"/>
  <c r="F44" i="16"/>
  <c r="G44" i="16" s="1"/>
  <c r="F45" i="16"/>
  <c r="G45" i="16" s="1"/>
  <c r="F46" i="16"/>
  <c r="G46" i="16" s="1"/>
  <c r="F47" i="16"/>
  <c r="G47" i="16" s="1"/>
  <c r="F48" i="16"/>
  <c r="G48" i="16" s="1"/>
  <c r="F49" i="16"/>
  <c r="G49" i="16" s="1"/>
  <c r="F50" i="16"/>
  <c r="G50" i="16" s="1"/>
  <c r="F51" i="16"/>
  <c r="G51" i="16" s="1"/>
  <c r="F52" i="16"/>
  <c r="G52" i="16" s="1"/>
  <c r="F53" i="16"/>
  <c r="G53" i="16" s="1"/>
  <c r="F54" i="16"/>
  <c r="G54" i="16" s="1"/>
  <c r="F55" i="16"/>
  <c r="G55" i="16" s="1"/>
  <c r="F56" i="16"/>
  <c r="G56" i="16" s="1"/>
  <c r="F57" i="16"/>
  <c r="G57" i="16" s="1"/>
  <c r="F58" i="16"/>
  <c r="G58" i="16" s="1"/>
  <c r="F59" i="16"/>
  <c r="G59" i="16" s="1"/>
  <c r="F60" i="16"/>
  <c r="F61" i="16"/>
  <c r="F62" i="16"/>
  <c r="G62" i="16" s="1"/>
  <c r="F63" i="16"/>
  <c r="G63" i="16" s="1"/>
  <c r="F64" i="16"/>
  <c r="G64" i="16" s="1"/>
  <c r="F65" i="16"/>
  <c r="G65" i="16" s="1"/>
  <c r="F66" i="16"/>
  <c r="G66" i="16" s="1"/>
  <c r="F67" i="16"/>
  <c r="G67" i="16" s="1"/>
  <c r="F68" i="16"/>
  <c r="F69" i="16"/>
  <c r="F70" i="16"/>
  <c r="G70" i="16" s="1"/>
  <c r="F71" i="16"/>
  <c r="G71" i="16" s="1"/>
  <c r="F72" i="16"/>
  <c r="G72" i="16" s="1"/>
  <c r="F73" i="16"/>
  <c r="G73" i="16" s="1"/>
  <c r="F74" i="16"/>
  <c r="G74" i="16" s="1"/>
  <c r="F75" i="16"/>
  <c r="G75" i="16" s="1"/>
  <c r="F76" i="16"/>
  <c r="G76" i="16" s="1"/>
  <c r="F77" i="16"/>
  <c r="G77" i="16" s="1"/>
  <c r="F78" i="16"/>
  <c r="G78" i="16" s="1"/>
  <c r="F79" i="16"/>
  <c r="G79" i="16" s="1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79" i="16"/>
  <c r="B42" i="16"/>
  <c r="B43" i="16"/>
  <c r="B44" i="16"/>
  <c r="B45" i="16"/>
  <c r="B46" i="16"/>
  <c r="B47" i="16"/>
  <c r="B48" i="16"/>
  <c r="B49" i="16"/>
  <c r="B50" i="16"/>
  <c r="B51" i="16"/>
  <c r="B52" i="16"/>
  <c r="B53" i="16"/>
  <c r="B54" i="16"/>
  <c r="B55" i="16"/>
  <c r="B56" i="16"/>
  <c r="B57" i="16"/>
  <c r="B58" i="16"/>
  <c r="B59" i="16"/>
  <c r="B60" i="16"/>
  <c r="B61" i="16"/>
  <c r="B62" i="16"/>
  <c r="B63" i="16"/>
  <c r="B64" i="16"/>
  <c r="B65" i="16"/>
  <c r="B66" i="16"/>
  <c r="B67" i="16"/>
  <c r="B68" i="16"/>
  <c r="B69" i="16"/>
  <c r="B70" i="16"/>
  <c r="B71" i="16"/>
  <c r="B72" i="16"/>
  <c r="B73" i="16"/>
  <c r="B74" i="16"/>
  <c r="B75" i="16"/>
  <c r="B76" i="16"/>
  <c r="B77" i="16"/>
  <c r="B78" i="16"/>
  <c r="B79" i="16"/>
  <c r="L21" i="16"/>
  <c r="K2" i="16"/>
  <c r="K3" i="16"/>
  <c r="K4" i="16"/>
  <c r="K5" i="16"/>
  <c r="K6" i="16"/>
  <c r="K7" i="16"/>
  <c r="K8" i="16"/>
  <c r="K9" i="16"/>
  <c r="K10" i="16"/>
  <c r="K11" i="16"/>
  <c r="L11" i="16" s="1"/>
  <c r="K12" i="16"/>
  <c r="K13" i="16"/>
  <c r="K14" i="16"/>
  <c r="K15" i="16"/>
  <c r="K16" i="16"/>
  <c r="K17" i="16"/>
  <c r="K18" i="16"/>
  <c r="K19" i="16"/>
  <c r="K20" i="16"/>
  <c r="K21" i="16"/>
  <c r="K22" i="16"/>
  <c r="K23" i="16"/>
  <c r="K24" i="16"/>
  <c r="K25" i="16"/>
  <c r="K26" i="16"/>
  <c r="K27" i="16"/>
  <c r="K28" i="16"/>
  <c r="K29" i="16"/>
  <c r="K30" i="16"/>
  <c r="K31" i="16"/>
  <c r="K32" i="16"/>
  <c r="K33" i="16"/>
  <c r="K34" i="16"/>
  <c r="K35" i="16"/>
  <c r="K36" i="16"/>
  <c r="K37" i="16"/>
  <c r="K38" i="16"/>
  <c r="K39" i="16"/>
  <c r="J2" i="16"/>
  <c r="J3" i="16"/>
  <c r="J4" i="16"/>
  <c r="J5" i="16"/>
  <c r="J6" i="16"/>
  <c r="J7" i="16"/>
  <c r="J8" i="16"/>
  <c r="J9" i="16"/>
  <c r="L9" i="16" s="1"/>
  <c r="J10" i="16"/>
  <c r="L10" i="16" s="1"/>
  <c r="J11" i="16"/>
  <c r="J12" i="16"/>
  <c r="J13" i="16"/>
  <c r="J14" i="16"/>
  <c r="J15" i="16"/>
  <c r="J16" i="16"/>
  <c r="J17" i="16"/>
  <c r="J18" i="16"/>
  <c r="L18" i="16" s="1"/>
  <c r="J19" i="16"/>
  <c r="L19" i="16" s="1"/>
  <c r="J20" i="16"/>
  <c r="L20" i="16" s="1"/>
  <c r="J21" i="16"/>
  <c r="J22" i="16"/>
  <c r="J23" i="16"/>
  <c r="J24" i="16"/>
  <c r="J25" i="16"/>
  <c r="J26" i="16"/>
  <c r="J27" i="16"/>
  <c r="J28" i="16"/>
  <c r="J29" i="16"/>
  <c r="L29" i="16" s="1"/>
  <c r="J30" i="16"/>
  <c r="L30" i="16" s="1"/>
  <c r="J31" i="16"/>
  <c r="J32" i="16"/>
  <c r="J33" i="16"/>
  <c r="J34" i="16"/>
  <c r="J35" i="16"/>
  <c r="J36" i="16"/>
  <c r="J37" i="16"/>
  <c r="J38" i="16"/>
  <c r="J39" i="16"/>
  <c r="L39" i="16" s="1"/>
  <c r="D2" i="16"/>
  <c r="D3" i="16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O7" i="11"/>
  <c r="P7" i="11" s="1"/>
  <c r="O6" i="11"/>
  <c r="P6" i="11" s="1"/>
  <c r="O5" i="11"/>
  <c r="P5" i="11" s="1"/>
  <c r="O4" i="11"/>
  <c r="P4" i="11" s="1"/>
  <c r="O3" i="11"/>
  <c r="P3" i="11" s="1"/>
  <c r="O2" i="11"/>
  <c r="P2" i="11" s="1"/>
  <c r="I3" i="11"/>
  <c r="I2" i="11"/>
  <c r="I4" i="11"/>
  <c r="I5" i="11"/>
  <c r="I6" i="11"/>
  <c r="I7" i="11"/>
  <c r="K2" i="11"/>
  <c r="K3" i="11"/>
  <c r="K4" i="11"/>
  <c r="K5" i="11"/>
  <c r="K6" i="11"/>
  <c r="K7" i="11"/>
  <c r="C14" i="7"/>
  <c r="F14" i="7"/>
  <c r="C5" i="10" s="1"/>
  <c r="G7" i="5"/>
  <c r="J7" i="5" s="1"/>
  <c r="C13" i="7"/>
  <c r="C12" i="7"/>
  <c r="C11" i="7"/>
  <c r="C10" i="7"/>
  <c r="C9" i="7"/>
  <c r="F9" i="7"/>
  <c r="G2" i="5"/>
  <c r="G2" i="11" s="1"/>
  <c r="G3" i="5"/>
  <c r="G3" i="11" s="1"/>
  <c r="G4" i="5"/>
  <c r="G4" i="11" s="1"/>
  <c r="G5" i="5"/>
  <c r="G5" i="11" s="1"/>
  <c r="G6" i="5"/>
  <c r="J6" i="5" s="1"/>
  <c r="G8" i="5"/>
  <c r="G9" i="5"/>
  <c r="J9" i="5" s="1"/>
  <c r="C10" i="10"/>
  <c r="C23" i="10"/>
  <c r="C22" i="10"/>
  <c r="C21" i="10"/>
  <c r="C19" i="10"/>
  <c r="E40" i="6"/>
  <c r="C16" i="10"/>
  <c r="C6" i="10"/>
  <c r="C4" i="10"/>
  <c r="I40" i="6"/>
  <c r="F13" i="7"/>
  <c r="F12" i="7"/>
  <c r="F11" i="7"/>
  <c r="F10" i="7"/>
  <c r="K23" i="9"/>
  <c r="F23" i="16" s="1"/>
  <c r="K2" i="9"/>
  <c r="F2" i="16" s="1"/>
  <c r="K8" i="9"/>
  <c r="F8" i="16" s="1"/>
  <c r="K12" i="9"/>
  <c r="F12" i="16" s="1"/>
  <c r="K4" i="9"/>
  <c r="F4" i="16" s="1"/>
  <c r="K16" i="9"/>
  <c r="F16" i="16" s="1"/>
  <c r="K5" i="9"/>
  <c r="F5" i="16" s="1"/>
  <c r="K17" i="9"/>
  <c r="F17" i="16" s="1"/>
  <c r="K10" i="9"/>
  <c r="F10" i="16" s="1"/>
  <c r="K13" i="9"/>
  <c r="F13" i="16" s="1"/>
  <c r="K9" i="9"/>
  <c r="F9" i="16" s="1"/>
  <c r="K25" i="9"/>
  <c r="F25" i="16" s="1"/>
  <c r="K24" i="9"/>
  <c r="F24" i="16" s="1"/>
  <c r="K33" i="9"/>
  <c r="F33" i="16" s="1"/>
  <c r="K18" i="9"/>
  <c r="F18" i="16" s="1"/>
  <c r="K35" i="9"/>
  <c r="F35" i="16" s="1"/>
  <c r="K15" i="9"/>
  <c r="F15" i="16" s="1"/>
  <c r="K34" i="9"/>
  <c r="F34" i="16" s="1"/>
  <c r="K14" i="9"/>
  <c r="F14" i="16" s="1"/>
  <c r="K3" i="9"/>
  <c r="F3" i="16" s="1"/>
  <c r="K31" i="9"/>
  <c r="F31" i="16" s="1"/>
  <c r="K28" i="9"/>
  <c r="F28" i="16" s="1"/>
  <c r="K39" i="9"/>
  <c r="F39" i="16" s="1"/>
  <c r="K20" i="9"/>
  <c r="F20" i="16" s="1"/>
  <c r="K38" i="9"/>
  <c r="F38" i="16" s="1"/>
  <c r="K26" i="9"/>
  <c r="F26" i="16" s="1"/>
  <c r="K19" i="9"/>
  <c r="F19" i="16" s="1"/>
  <c r="K30" i="9"/>
  <c r="F30" i="16" s="1"/>
  <c r="K27" i="9"/>
  <c r="F27" i="16" s="1"/>
  <c r="K29" i="9"/>
  <c r="F29" i="16" s="1"/>
  <c r="K21" i="9"/>
  <c r="F21" i="16" s="1"/>
  <c r="K32" i="9"/>
  <c r="F32" i="16" s="1"/>
  <c r="K6" i="9"/>
  <c r="F6" i="16" s="1"/>
  <c r="K36" i="9"/>
  <c r="F36" i="16" s="1"/>
  <c r="K37" i="9"/>
  <c r="F37" i="16" s="1"/>
  <c r="K11" i="9"/>
  <c r="F11" i="16" s="1"/>
  <c r="K22" i="9"/>
  <c r="F22" i="16" s="1"/>
  <c r="K7" i="9"/>
  <c r="F7" i="16" s="1"/>
  <c r="J23" i="9"/>
  <c r="G23" i="6" s="1"/>
  <c r="J2" i="9"/>
  <c r="G2" i="6" s="1"/>
  <c r="J8" i="9"/>
  <c r="G8" i="6" s="1"/>
  <c r="J12" i="9"/>
  <c r="G12" i="6" s="1"/>
  <c r="J4" i="9"/>
  <c r="G4" i="6" s="1"/>
  <c r="J16" i="9"/>
  <c r="G16" i="6" s="1"/>
  <c r="J5" i="9"/>
  <c r="G5" i="6" s="1"/>
  <c r="J17" i="9"/>
  <c r="G17" i="6" s="1"/>
  <c r="J10" i="9"/>
  <c r="G10" i="6" s="1"/>
  <c r="J13" i="9"/>
  <c r="G13" i="6" s="1"/>
  <c r="J9" i="9"/>
  <c r="E9" i="16" s="1"/>
  <c r="J25" i="9"/>
  <c r="G25" i="6" s="1"/>
  <c r="J24" i="9"/>
  <c r="G24" i="6" s="1"/>
  <c r="J33" i="9"/>
  <c r="G33" i="6" s="1"/>
  <c r="J18" i="9"/>
  <c r="G18" i="6" s="1"/>
  <c r="J35" i="9"/>
  <c r="G35" i="6" s="1"/>
  <c r="J15" i="9"/>
  <c r="G15" i="6" s="1"/>
  <c r="J34" i="9"/>
  <c r="G34" i="6" s="1"/>
  <c r="J14" i="9"/>
  <c r="G14" i="6" s="1"/>
  <c r="J3" i="9"/>
  <c r="E3" i="16" s="1"/>
  <c r="J31" i="9"/>
  <c r="E31" i="16" s="1"/>
  <c r="J28" i="9"/>
  <c r="G28" i="6" s="1"/>
  <c r="J39" i="9"/>
  <c r="G39" i="6" s="1"/>
  <c r="J20" i="9"/>
  <c r="G20" i="6" s="1"/>
  <c r="J38" i="9"/>
  <c r="G38" i="6" s="1"/>
  <c r="J26" i="9"/>
  <c r="G26" i="6" s="1"/>
  <c r="J19" i="9"/>
  <c r="G19" i="6" s="1"/>
  <c r="J30" i="9"/>
  <c r="G30" i="6" s="1"/>
  <c r="J27" i="9"/>
  <c r="G27" i="6" s="1"/>
  <c r="J29" i="9"/>
  <c r="G29" i="6" s="1"/>
  <c r="J21" i="9"/>
  <c r="E21" i="16" s="1"/>
  <c r="J32" i="9"/>
  <c r="G32" i="6" s="1"/>
  <c r="J6" i="9"/>
  <c r="G6" i="6" s="1"/>
  <c r="J36" i="9"/>
  <c r="G36" i="6" s="1"/>
  <c r="J37" i="9"/>
  <c r="G37" i="6" s="1"/>
  <c r="J11" i="9"/>
  <c r="G11" i="6" s="1"/>
  <c r="J22" i="9"/>
  <c r="G22" i="6" s="1"/>
  <c r="J7" i="9"/>
  <c r="G7" i="6" s="1"/>
  <c r="O20" i="16" l="1" a="1"/>
  <c r="O20" i="16" s="1"/>
  <c r="Q20" i="16" s="1"/>
  <c r="O18" i="16" a="1"/>
  <c r="O18" i="16" s="1"/>
  <c r="L37" i="16"/>
  <c r="L27" i="16"/>
  <c r="L17" i="16"/>
  <c r="L7" i="16"/>
  <c r="L36" i="16"/>
  <c r="L26" i="16"/>
  <c r="L16" i="16"/>
  <c r="L6" i="16"/>
  <c r="L28" i="16"/>
  <c r="L38" i="16"/>
  <c r="L8" i="16"/>
  <c r="L31" i="16"/>
  <c r="L25" i="16"/>
  <c r="L15" i="16"/>
  <c r="L5" i="16"/>
  <c r="L34" i="16"/>
  <c r="L23" i="16"/>
  <c r="L3" i="16"/>
  <c r="L32" i="16"/>
  <c r="L22" i="16"/>
  <c r="L12" i="16"/>
  <c r="L2" i="16"/>
  <c r="L24" i="16"/>
  <c r="L13" i="16"/>
  <c r="L35" i="16"/>
  <c r="L14" i="16"/>
  <c r="L4" i="16"/>
  <c r="L33" i="16"/>
  <c r="E17" i="16"/>
  <c r="E11" i="16"/>
  <c r="E30" i="16"/>
  <c r="E20" i="16"/>
  <c r="E10" i="16"/>
  <c r="E39" i="16"/>
  <c r="E29" i="16"/>
  <c r="E19" i="16"/>
  <c r="E38" i="16"/>
  <c r="E28" i="16"/>
  <c r="E18" i="16"/>
  <c r="E8" i="16"/>
  <c r="E37" i="16"/>
  <c r="E27" i="16"/>
  <c r="E7" i="16"/>
  <c r="E36" i="16"/>
  <c r="E26" i="16"/>
  <c r="E16" i="16"/>
  <c r="E6" i="16"/>
  <c r="E35" i="16"/>
  <c r="E25" i="16"/>
  <c r="E15" i="16"/>
  <c r="E5" i="16"/>
  <c r="E34" i="16"/>
  <c r="E24" i="16"/>
  <c r="E14" i="16"/>
  <c r="E4" i="16"/>
  <c r="E33" i="16"/>
  <c r="E23" i="16"/>
  <c r="E13" i="16"/>
  <c r="E32" i="16"/>
  <c r="E22" i="16"/>
  <c r="E12" i="16"/>
  <c r="E2" i="16"/>
  <c r="M6" i="11"/>
  <c r="M7" i="11"/>
  <c r="C11" i="10"/>
  <c r="C12" i="10" s="1"/>
  <c r="G7" i="11"/>
  <c r="J4" i="5"/>
  <c r="M4" i="11" s="1"/>
  <c r="J5" i="5"/>
  <c r="M5" i="11" s="1"/>
  <c r="J3" i="5"/>
  <c r="M3" i="11" s="1"/>
  <c r="G6" i="11"/>
  <c r="J2" i="5"/>
  <c r="M2" i="11" s="1"/>
  <c r="C9" i="10"/>
  <c r="J8" i="5"/>
  <c r="C15" i="11"/>
  <c r="C19" i="11"/>
  <c r="D19" i="11" s="1"/>
  <c r="C18" i="11"/>
  <c r="C17" i="11"/>
  <c r="C16" i="11"/>
  <c r="L3" i="9"/>
  <c r="M3" i="9" s="1"/>
  <c r="L7" i="9"/>
  <c r="M7" i="9" s="1"/>
  <c r="L21" i="9"/>
  <c r="M21" i="9" s="1"/>
  <c r="L31" i="9"/>
  <c r="M31" i="9" s="1"/>
  <c r="L9" i="9"/>
  <c r="M9" i="9" s="1"/>
  <c r="G9" i="6"/>
  <c r="G3" i="6"/>
  <c r="G31" i="6"/>
  <c r="G21" i="6"/>
  <c r="C7" i="10"/>
  <c r="L37" i="9"/>
  <c r="M37" i="9" s="1"/>
  <c r="L38" i="9"/>
  <c r="M38" i="9" s="1"/>
  <c r="L18" i="9"/>
  <c r="M18" i="9" s="1"/>
  <c r="L4" i="9"/>
  <c r="M4" i="9" s="1"/>
  <c r="L29" i="9"/>
  <c r="M29" i="9" s="1"/>
  <c r="L13" i="9"/>
  <c r="M13" i="9" s="1"/>
  <c r="L27" i="9"/>
  <c r="M27" i="9" s="1"/>
  <c r="L14" i="9"/>
  <c r="M14" i="9" s="1"/>
  <c r="L10" i="9"/>
  <c r="M10" i="9" s="1"/>
  <c r="L11" i="9"/>
  <c r="M11" i="9" s="1"/>
  <c r="L26" i="9"/>
  <c r="M26" i="9" s="1"/>
  <c r="L35" i="9"/>
  <c r="M35" i="9" s="1"/>
  <c r="L16" i="9"/>
  <c r="M16" i="9" s="1"/>
  <c r="L23" i="9"/>
  <c r="M23" i="9" s="1"/>
  <c r="L30" i="9"/>
  <c r="M30" i="9" s="1"/>
  <c r="L34" i="9"/>
  <c r="M34" i="9" s="1"/>
  <c r="L17" i="9"/>
  <c r="M17" i="9" s="1"/>
  <c r="L22" i="9"/>
  <c r="M22" i="9" s="1"/>
  <c r="L19" i="9"/>
  <c r="M19" i="9" s="1"/>
  <c r="L15" i="9"/>
  <c r="M15" i="9" s="1"/>
  <c r="L5" i="9"/>
  <c r="M5" i="9" s="1"/>
  <c r="L36" i="9"/>
  <c r="M36" i="9" s="1"/>
  <c r="L20" i="9"/>
  <c r="M20" i="9" s="1"/>
  <c r="L33" i="9"/>
  <c r="M33" i="9" s="1"/>
  <c r="L12" i="9"/>
  <c r="M12" i="9" s="1"/>
  <c r="L6" i="9"/>
  <c r="M6" i="9" s="1"/>
  <c r="L39" i="9"/>
  <c r="M39" i="9" s="1"/>
  <c r="L24" i="9"/>
  <c r="M24" i="9" s="1"/>
  <c r="L8" i="9"/>
  <c r="M8" i="9" s="1"/>
  <c r="L32" i="9"/>
  <c r="M32" i="9" s="1"/>
  <c r="L28" i="9"/>
  <c r="M28" i="9" s="1"/>
  <c r="L25" i="9"/>
  <c r="M25" i="9" s="1"/>
  <c r="L2" i="9"/>
  <c r="M2" i="9" s="1"/>
  <c r="Q18" i="16" l="1"/>
  <c r="O19" i="16"/>
  <c r="C14" i="11"/>
  <c r="D14" i="11" s="1"/>
  <c r="D18" i="11"/>
  <c r="D15" i="11"/>
  <c r="D17" i="11"/>
  <c r="D16" i="11"/>
  <c r="O39" i="4"/>
  <c r="P39" i="4" s="1"/>
  <c r="O38" i="4"/>
  <c r="P38" i="4" s="1"/>
  <c r="O37" i="4"/>
  <c r="P37" i="4" s="1"/>
  <c r="O36" i="4"/>
  <c r="P36" i="4" s="1"/>
  <c r="O35" i="4"/>
  <c r="P35" i="4" s="1"/>
  <c r="O34" i="4"/>
  <c r="P34" i="4" s="1"/>
  <c r="O33" i="4"/>
  <c r="P33" i="4" s="1"/>
  <c r="O32" i="4"/>
  <c r="P32" i="4" s="1"/>
  <c r="O31" i="4"/>
  <c r="P31" i="4" s="1"/>
  <c r="O30" i="4"/>
  <c r="P30" i="4" s="1"/>
  <c r="O29" i="4"/>
  <c r="P29" i="4" s="1"/>
  <c r="O28" i="4"/>
  <c r="P28" i="4" s="1"/>
  <c r="O27" i="4"/>
  <c r="P27" i="4" s="1"/>
  <c r="O26" i="4"/>
  <c r="P26" i="4" s="1"/>
  <c r="O25" i="4"/>
  <c r="P25" i="4" s="1"/>
  <c r="O24" i="4"/>
  <c r="P24" i="4" s="1"/>
  <c r="O23" i="4"/>
  <c r="P23" i="4" s="1"/>
  <c r="O22" i="4"/>
  <c r="P22" i="4" s="1"/>
  <c r="O21" i="4"/>
  <c r="P21" i="4" s="1"/>
  <c r="O20" i="4"/>
  <c r="P20" i="4" s="1"/>
  <c r="O19" i="4"/>
  <c r="P19" i="4" s="1"/>
  <c r="O18" i="4"/>
  <c r="P18" i="4" s="1"/>
  <c r="O17" i="4"/>
  <c r="P17" i="4" s="1"/>
  <c r="O16" i="4"/>
  <c r="P16" i="4" s="1"/>
  <c r="O15" i="4"/>
  <c r="P15" i="4" s="1"/>
  <c r="O14" i="4"/>
  <c r="P14" i="4" s="1"/>
  <c r="O13" i="4"/>
  <c r="P13" i="4" s="1"/>
  <c r="O12" i="4"/>
  <c r="P12" i="4" s="1"/>
  <c r="O11" i="4"/>
  <c r="P11" i="4" s="1"/>
  <c r="O10" i="4"/>
  <c r="P10" i="4" s="1"/>
  <c r="O9" i="4"/>
  <c r="P9" i="4" s="1"/>
  <c r="O8" i="4"/>
  <c r="P8" i="4" s="1"/>
  <c r="O7" i="4"/>
  <c r="P7" i="4" s="1"/>
  <c r="O6" i="4"/>
  <c r="P6" i="4" s="1"/>
  <c r="O5" i="4"/>
  <c r="P5" i="4" s="1"/>
  <c r="O4" i="4"/>
  <c r="P4" i="4" s="1"/>
  <c r="O3" i="4"/>
  <c r="P3" i="4" s="1"/>
  <c r="O2" i="4"/>
  <c r="P2" i="4" s="1"/>
  <c r="Q19" i="16" l="1"/>
  <c r="Q21" i="16" s="1"/>
  <c r="O21" i="16"/>
  <c r="P40" i="4"/>
  <c r="C17" i="10" s="1"/>
  <c r="O40" i="4"/>
  <c r="Q6" i="4"/>
  <c r="Q26" i="4"/>
  <c r="Q17" i="4"/>
  <c r="Q28" i="4"/>
  <c r="Q33" i="4"/>
  <c r="Q16" i="4"/>
  <c r="Q7" i="4"/>
  <c r="Q37" i="4"/>
  <c r="Q18" i="4"/>
  <c r="Q38" i="4"/>
  <c r="Q19" i="4"/>
  <c r="Q10" i="4"/>
  <c r="Q30" i="4"/>
  <c r="Q31" i="4"/>
  <c r="Q12" i="4"/>
  <c r="Q32" i="4"/>
  <c r="Q13" i="4"/>
  <c r="Q23" i="4"/>
  <c r="Q4" i="4"/>
  <c r="Q14" i="4"/>
  <c r="Q24" i="4"/>
  <c r="Q34" i="4"/>
  <c r="Q36" i="4"/>
  <c r="Q27" i="4"/>
  <c r="Q8" i="4"/>
  <c r="Q9" i="4"/>
  <c r="Q29" i="4"/>
  <c r="Q39" i="4"/>
  <c r="Q20" i="4"/>
  <c r="Q11" i="4"/>
  <c r="Q21" i="4"/>
  <c r="Q2" i="4"/>
  <c r="Q22" i="4"/>
  <c r="Q3" i="4"/>
  <c r="Q5" i="4"/>
  <c r="Q15" i="4"/>
  <c r="Q35" i="4"/>
  <c r="Q25" i="4"/>
  <c r="R15" i="4" l="1"/>
  <c r="R12" i="4"/>
  <c r="R29" i="4"/>
  <c r="R28" i="4"/>
  <c r="R7" i="4"/>
  <c r="R25" i="4"/>
  <c r="R3" i="4"/>
  <c r="R39" i="4"/>
  <c r="R17" i="4"/>
  <c r="R5" i="4"/>
  <c r="R32" i="4"/>
  <c r="R19" i="4"/>
  <c r="R36" i="4"/>
  <c r="R24" i="4"/>
  <c r="R2" i="4"/>
  <c r="R38" i="4"/>
  <c r="R31" i="4"/>
  <c r="R34" i="4"/>
  <c r="R22" i="4"/>
  <c r="R9" i="4"/>
  <c r="R26" i="4"/>
  <c r="R14" i="4"/>
  <c r="R4" i="4"/>
  <c r="R21" i="4"/>
  <c r="R8" i="4"/>
  <c r="G25" i="9"/>
  <c r="R33" i="4"/>
  <c r="R30" i="4"/>
  <c r="R16" i="4"/>
  <c r="R23" i="4"/>
  <c r="R20" i="4"/>
  <c r="R37" i="4"/>
  <c r="R35" i="4"/>
  <c r="R13" i="4"/>
  <c r="R10" i="4"/>
  <c r="R27" i="4"/>
  <c r="G39" i="9"/>
  <c r="G18" i="9"/>
  <c r="G33" i="9"/>
  <c r="G23" i="9"/>
  <c r="G27" i="9"/>
  <c r="G24" i="9"/>
  <c r="G32" i="9"/>
  <c r="G10" i="9"/>
  <c r="G14" i="9"/>
  <c r="G17" i="9"/>
  <c r="G2" i="9"/>
  <c r="G7" i="9"/>
  <c r="G15" i="9"/>
  <c r="G38" i="9"/>
  <c r="G21" i="9"/>
  <c r="G4" i="9"/>
  <c r="G37" i="9"/>
  <c r="G12" i="9"/>
  <c r="G8" i="9"/>
  <c r="G30" i="9"/>
  <c r="G36" i="9"/>
  <c r="G22" i="9"/>
  <c r="G9" i="9"/>
  <c r="G35" i="9"/>
  <c r="G29" i="9"/>
  <c r="G31" i="9"/>
  <c r="G5" i="9"/>
  <c r="G28" i="9"/>
  <c r="G13" i="9"/>
  <c r="G11" i="9"/>
  <c r="G3" i="9"/>
  <c r="G16" i="9"/>
  <c r="G19" i="9"/>
  <c r="G34" i="9"/>
  <c r="G6" i="9"/>
  <c r="G20" i="9"/>
  <c r="G26" i="9"/>
  <c r="R6" i="4"/>
  <c r="R18" i="4"/>
  <c r="R11" i="4"/>
  <c r="H34" i="9" l="1" a="1"/>
  <c r="H34" i="9" s="1"/>
  <c r="H35" i="9" a="1"/>
  <c r="H35" i="9" s="1"/>
  <c r="I35" i="9" s="1"/>
  <c r="N35" i="9" s="1"/>
  <c r="C35" i="16" s="1"/>
  <c r="G35" i="16" s="1"/>
  <c r="H35" i="16" s="1"/>
  <c r="H38" i="9" a="1"/>
  <c r="H38" i="9" s="1"/>
  <c r="H23" i="9" a="1"/>
  <c r="H23" i="9" s="1"/>
  <c r="I23" i="9" s="1"/>
  <c r="N23" i="9" s="1"/>
  <c r="C23" i="16" s="1"/>
  <c r="G23" i="16" s="1"/>
  <c r="H23" i="16" s="1"/>
  <c r="H9" i="9" a="1"/>
  <c r="H9" i="9" s="1"/>
  <c r="I9" i="9" s="1"/>
  <c r="N9" i="9" s="1"/>
  <c r="C9" i="16" s="1"/>
  <c r="G9" i="16" s="1"/>
  <c r="H9" i="16" s="1"/>
  <c r="H15" i="9" a="1"/>
  <c r="H15" i="9" s="1"/>
  <c r="I15" i="9" s="1"/>
  <c r="N15" i="9" s="1"/>
  <c r="C15" i="16" s="1"/>
  <c r="G15" i="16" s="1"/>
  <c r="H15" i="16" s="1"/>
  <c r="H33" i="9" a="1"/>
  <c r="H33" i="9" s="1"/>
  <c r="I33" i="9" s="1"/>
  <c r="N33" i="9" s="1"/>
  <c r="C33" i="16" s="1"/>
  <c r="G33" i="16" s="1"/>
  <c r="H33" i="16" s="1"/>
  <c r="H22" i="9" a="1"/>
  <c r="H22" i="9" s="1"/>
  <c r="I22" i="9" s="1"/>
  <c r="N22" i="9" s="1"/>
  <c r="C22" i="16" s="1"/>
  <c r="G22" i="16" s="1"/>
  <c r="H22" i="16" s="1"/>
  <c r="H7" i="9" a="1"/>
  <c r="H7" i="9" s="1"/>
  <c r="I7" i="9" s="1"/>
  <c r="N7" i="9" s="1"/>
  <c r="C7" i="16" s="1"/>
  <c r="G7" i="16" s="1"/>
  <c r="H7" i="16" s="1"/>
  <c r="H18" i="9" a="1"/>
  <c r="H18" i="9" s="1"/>
  <c r="I18" i="9" s="1"/>
  <c r="N18" i="9" s="1"/>
  <c r="C18" i="16" s="1"/>
  <c r="G18" i="16" s="1"/>
  <c r="H18" i="16" s="1"/>
  <c r="H3" i="9" a="1"/>
  <c r="H3" i="9" s="1"/>
  <c r="H36" i="9" a="1"/>
  <c r="H36" i="9" s="1"/>
  <c r="I36" i="9" s="1"/>
  <c r="N36" i="9" s="1"/>
  <c r="C36" i="16" s="1"/>
  <c r="G36" i="16" s="1"/>
  <c r="H36" i="16" s="1"/>
  <c r="H2" i="9" a="1"/>
  <c r="H2" i="9" s="1"/>
  <c r="H39" i="9" a="1"/>
  <c r="H39" i="9" s="1"/>
  <c r="I39" i="9" s="1"/>
  <c r="N39" i="9" s="1"/>
  <c r="C39" i="16" s="1"/>
  <c r="G39" i="16" s="1"/>
  <c r="H39" i="16" s="1"/>
  <c r="H16" i="9" a="1"/>
  <c r="H16" i="9" s="1"/>
  <c r="I16" i="9" s="1"/>
  <c r="N16" i="9" s="1"/>
  <c r="C16" i="16" s="1"/>
  <c r="G16" i="16" s="1"/>
  <c r="H16" i="16" s="1"/>
  <c r="H30" i="9" a="1"/>
  <c r="H30" i="9" s="1"/>
  <c r="I30" i="9" s="1"/>
  <c r="N30" i="9" s="1"/>
  <c r="C30" i="16" s="1"/>
  <c r="G30" i="16" s="1"/>
  <c r="H30" i="16" s="1"/>
  <c r="H17" i="9" a="1"/>
  <c r="H17" i="9" s="1"/>
  <c r="I17" i="9" s="1"/>
  <c r="N17" i="9" s="1"/>
  <c r="C17" i="16" s="1"/>
  <c r="G17" i="16" s="1"/>
  <c r="H17" i="16" s="1"/>
  <c r="H25" i="9" a="1"/>
  <c r="H25" i="9" s="1"/>
  <c r="I25" i="9" s="1"/>
  <c r="N25" i="9" s="1"/>
  <c r="C25" i="16" s="1"/>
  <c r="G25" i="16" s="1"/>
  <c r="H25" i="16" s="1"/>
  <c r="H11" i="9" a="1"/>
  <c r="H11" i="9" s="1"/>
  <c r="I11" i="9" s="1"/>
  <c r="N11" i="9" s="1"/>
  <c r="C11" i="16" s="1"/>
  <c r="G11" i="16" s="1"/>
  <c r="H11" i="16" s="1"/>
  <c r="H13" i="9" a="1"/>
  <c r="H13" i="9" s="1"/>
  <c r="I13" i="9" s="1"/>
  <c r="N13" i="9" s="1"/>
  <c r="C13" i="16" s="1"/>
  <c r="G13" i="16" s="1"/>
  <c r="H13" i="16" s="1"/>
  <c r="H8" i="9" a="1"/>
  <c r="H8" i="9" s="1"/>
  <c r="I8" i="9" s="1"/>
  <c r="N8" i="9" s="1"/>
  <c r="C8" i="16" s="1"/>
  <c r="G8" i="16" s="1"/>
  <c r="H8" i="16" s="1"/>
  <c r="H14" i="9" a="1"/>
  <c r="H14" i="9" s="1"/>
  <c r="I14" i="9" s="1"/>
  <c r="N14" i="9" s="1"/>
  <c r="C14" i="16" s="1"/>
  <c r="G14" i="16" s="1"/>
  <c r="H14" i="16" s="1"/>
  <c r="H19" i="9" a="1"/>
  <c r="H19" i="9" s="1"/>
  <c r="I19" i="9" s="1"/>
  <c r="N19" i="9" s="1"/>
  <c r="C19" i="16" s="1"/>
  <c r="G19" i="16" s="1"/>
  <c r="H19" i="16" s="1"/>
  <c r="H28" i="9" a="1"/>
  <c r="H28" i="9" s="1"/>
  <c r="I28" i="9" s="1"/>
  <c r="N28" i="9" s="1"/>
  <c r="C28" i="16" s="1"/>
  <c r="G28" i="16" s="1"/>
  <c r="H28" i="16" s="1"/>
  <c r="H12" i="9" a="1"/>
  <c r="H12" i="9" s="1"/>
  <c r="I12" i="9" s="1"/>
  <c r="N12" i="9" s="1"/>
  <c r="C12" i="16" s="1"/>
  <c r="G12" i="16" s="1"/>
  <c r="H12" i="16" s="1"/>
  <c r="H10" i="9" a="1"/>
  <c r="H10" i="9" s="1"/>
  <c r="I10" i="9" s="1"/>
  <c r="N10" i="9" s="1"/>
  <c r="C10" i="16" s="1"/>
  <c r="G10" i="16" s="1"/>
  <c r="H10" i="16" s="1"/>
  <c r="H26" i="9" a="1"/>
  <c r="H26" i="9" s="1"/>
  <c r="I26" i="9" s="1"/>
  <c r="N26" i="9" s="1"/>
  <c r="C26" i="16" s="1"/>
  <c r="G26" i="16" s="1"/>
  <c r="H26" i="16" s="1"/>
  <c r="H5" i="9" a="1"/>
  <c r="H5" i="9" s="1"/>
  <c r="I5" i="9" s="1"/>
  <c r="N5" i="9" s="1"/>
  <c r="C5" i="16" s="1"/>
  <c r="G5" i="16" s="1"/>
  <c r="H5" i="16" s="1"/>
  <c r="H37" i="9" a="1"/>
  <c r="H37" i="9" s="1"/>
  <c r="I37" i="9" s="1"/>
  <c r="N37" i="9" s="1"/>
  <c r="C37" i="16" s="1"/>
  <c r="G37" i="16" s="1"/>
  <c r="H37" i="16" s="1"/>
  <c r="H32" i="9" a="1"/>
  <c r="H32" i="9" s="1"/>
  <c r="I32" i="9" s="1"/>
  <c r="N32" i="9" s="1"/>
  <c r="C32" i="16" s="1"/>
  <c r="G32" i="16" s="1"/>
  <c r="H32" i="16" s="1"/>
  <c r="H20" i="9" a="1"/>
  <c r="H20" i="9" s="1"/>
  <c r="I20" i="9" s="1"/>
  <c r="N20" i="9" s="1"/>
  <c r="C20" i="16" s="1"/>
  <c r="G20" i="16" s="1"/>
  <c r="H20" i="16" s="1"/>
  <c r="H31" i="9" a="1"/>
  <c r="H31" i="9" s="1"/>
  <c r="I31" i="9" s="1"/>
  <c r="N31" i="9" s="1"/>
  <c r="C31" i="16" s="1"/>
  <c r="G31" i="16" s="1"/>
  <c r="H31" i="16" s="1"/>
  <c r="H4" i="9" a="1"/>
  <c r="H4" i="9" s="1"/>
  <c r="I4" i="9" s="1"/>
  <c r="N4" i="9" s="1"/>
  <c r="C4" i="16" s="1"/>
  <c r="G4" i="16" s="1"/>
  <c r="H4" i="16" s="1"/>
  <c r="H24" i="9" a="1"/>
  <c r="H24" i="9" s="1"/>
  <c r="I24" i="9" s="1"/>
  <c r="N24" i="9" s="1"/>
  <c r="C24" i="16" s="1"/>
  <c r="G24" i="16" s="1"/>
  <c r="H24" i="16" s="1"/>
  <c r="H6" i="9" a="1"/>
  <c r="H6" i="9" s="1"/>
  <c r="I6" i="9" s="1"/>
  <c r="N6" i="9" s="1"/>
  <c r="C6" i="16" s="1"/>
  <c r="G6" i="16" s="1"/>
  <c r="H6" i="16" s="1"/>
  <c r="H29" i="9" a="1"/>
  <c r="H29" i="9" s="1"/>
  <c r="I29" i="9" s="1"/>
  <c r="N29" i="9" s="1"/>
  <c r="C29" i="16" s="1"/>
  <c r="G29" i="16" s="1"/>
  <c r="H29" i="16" s="1"/>
  <c r="H21" i="9" a="1"/>
  <c r="H21" i="9" s="1"/>
  <c r="I21" i="9" s="1"/>
  <c r="N21" i="9" s="1"/>
  <c r="C21" i="16" s="1"/>
  <c r="G21" i="16" s="1"/>
  <c r="H21" i="16" s="1"/>
  <c r="H27" i="9" a="1"/>
  <c r="H27" i="9" s="1"/>
  <c r="I27" i="9" s="1"/>
  <c r="N27" i="9" s="1"/>
  <c r="C27" i="16" s="1"/>
  <c r="G27" i="16" s="1"/>
  <c r="H27" i="16" s="1"/>
  <c r="I34" i="9"/>
  <c r="N34" i="9" s="1"/>
  <c r="C34" i="16" s="1"/>
  <c r="G34" i="16" s="1"/>
  <c r="H34" i="16" s="1"/>
  <c r="I38" i="9"/>
  <c r="N38" i="9" s="1"/>
  <c r="C38" i="16" s="1"/>
  <c r="G38" i="16" s="1"/>
  <c r="H38" i="16" s="1"/>
  <c r="I2" i="9"/>
  <c r="N2" i="9" s="1"/>
  <c r="C2" i="16" s="1"/>
  <c r="G2" i="16" s="1"/>
  <c r="H2" i="16" s="1"/>
  <c r="I3" i="9"/>
  <c r="N3" i="9" s="1"/>
  <c r="C3" i="16" s="1"/>
  <c r="G3" i="16" s="1"/>
  <c r="H3" i="16" s="1"/>
  <c r="I5" i="16" l="1"/>
  <c r="E45" i="16" s="1"/>
  <c r="C45" i="16"/>
  <c r="I16" i="16"/>
  <c r="E56" i="16" s="1"/>
  <c r="R12" i="16"/>
  <c r="Q12" i="16"/>
  <c r="C56" i="16"/>
  <c r="I38" i="16"/>
  <c r="E78" i="16" s="1"/>
  <c r="C78" i="16"/>
  <c r="I32" i="16"/>
  <c r="E72" i="16" s="1"/>
  <c r="C72" i="16"/>
  <c r="I13" i="16"/>
  <c r="E53" i="16" s="1"/>
  <c r="C53" i="16"/>
  <c r="I18" i="16"/>
  <c r="E58" i="16" s="1"/>
  <c r="C58" i="16"/>
  <c r="I37" i="16"/>
  <c r="E77" i="16" s="1"/>
  <c r="C77" i="16"/>
  <c r="I11" i="16"/>
  <c r="E51" i="16" s="1"/>
  <c r="C51" i="16"/>
  <c r="I7" i="16"/>
  <c r="E47" i="16" s="1"/>
  <c r="C47" i="16"/>
  <c r="I25" i="16"/>
  <c r="E65" i="16" s="1"/>
  <c r="C65" i="16"/>
  <c r="I22" i="16"/>
  <c r="E62" i="16" s="1"/>
  <c r="C62" i="16"/>
  <c r="I17" i="16"/>
  <c r="E57" i="16" s="1"/>
  <c r="R13" i="16"/>
  <c r="Q13" i="16"/>
  <c r="C57" i="16"/>
  <c r="I33" i="16"/>
  <c r="E73" i="16" s="1"/>
  <c r="C73" i="16"/>
  <c r="I27" i="16"/>
  <c r="E67" i="16" s="1"/>
  <c r="C67" i="16"/>
  <c r="I30" i="16"/>
  <c r="E70" i="16" s="1"/>
  <c r="C70" i="16"/>
  <c r="I15" i="16"/>
  <c r="E55" i="16" s="1"/>
  <c r="C55" i="16"/>
  <c r="I29" i="16"/>
  <c r="E69" i="16" s="1"/>
  <c r="C69" i="16"/>
  <c r="I9" i="16"/>
  <c r="E49" i="16" s="1"/>
  <c r="C49" i="16"/>
  <c r="I6" i="16"/>
  <c r="E46" i="16" s="1"/>
  <c r="C46" i="16"/>
  <c r="I39" i="16"/>
  <c r="E79" i="16" s="1"/>
  <c r="C79" i="16"/>
  <c r="I23" i="16"/>
  <c r="E63" i="16" s="1"/>
  <c r="C63" i="16"/>
  <c r="I34" i="16"/>
  <c r="E74" i="16" s="1"/>
  <c r="C74" i="16"/>
  <c r="I4" i="16"/>
  <c r="E44" i="16" s="1"/>
  <c r="C44" i="16"/>
  <c r="I19" i="16"/>
  <c r="E59" i="16" s="1"/>
  <c r="C59" i="16"/>
  <c r="I26" i="16"/>
  <c r="E66" i="16" s="1"/>
  <c r="C66" i="16"/>
  <c r="I12" i="16"/>
  <c r="E52" i="16" s="1"/>
  <c r="C52" i="16"/>
  <c r="I28" i="16"/>
  <c r="E68" i="16" s="1"/>
  <c r="C68" i="16"/>
  <c r="I3" i="16"/>
  <c r="E43" i="16" s="1"/>
  <c r="C43" i="16"/>
  <c r="I31" i="16"/>
  <c r="E71" i="16" s="1"/>
  <c r="C71" i="16"/>
  <c r="I14" i="16"/>
  <c r="E54" i="16" s="1"/>
  <c r="C54" i="16"/>
  <c r="I35" i="16"/>
  <c r="E75" i="16" s="1"/>
  <c r="C75" i="16"/>
  <c r="I21" i="16"/>
  <c r="E61" i="16" s="1"/>
  <c r="C61" i="16"/>
  <c r="I10" i="16"/>
  <c r="E50" i="16" s="1"/>
  <c r="C50" i="16"/>
  <c r="I24" i="16"/>
  <c r="E64" i="16" s="1"/>
  <c r="C64" i="16"/>
  <c r="I36" i="16"/>
  <c r="E76" i="16" s="1"/>
  <c r="C76" i="16"/>
  <c r="I2" i="16"/>
  <c r="E42" i="16" s="1"/>
  <c r="C42" i="16"/>
  <c r="I20" i="16"/>
  <c r="E60" i="16" s="1"/>
  <c r="C60" i="16"/>
  <c r="I8" i="16"/>
  <c r="E48" i="16" s="1"/>
  <c r="C48" i="1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<sst xmlns="http://schemas.openxmlformats.org/spreadsheetml/2006/main" count="1677" uniqueCount="704">
  <si>
    <t>Field</t>
  </si>
  <si>
    <t>Details</t>
  </si>
  <si>
    <t>Company Name</t>
  </si>
  <si>
    <t>UrbanSpark Logistics GmbH</t>
  </si>
  <si>
    <t>Founded</t>
  </si>
  <si>
    <t>2018</t>
  </si>
  <si>
    <t>Industry</t>
  </si>
  <si>
    <t>B2B E-Bike Parts Distribution</t>
  </si>
  <si>
    <t>Headquarters</t>
  </si>
  <si>
    <t>Munich, Germany</t>
  </si>
  <si>
    <t>Warehouse Address</t>
  </si>
  <si>
    <t>Heisenbergstr. 14, 80807 München</t>
  </si>
  <si>
    <t>Warehouse Lat</t>
  </si>
  <si>
    <t>Warehouse Long</t>
  </si>
  <si>
    <t>Warehouse Size (m²)</t>
  </si>
  <si>
    <t>Storage Cost (€/m²/month)</t>
  </si>
  <si>
    <t>Number of Active Customers</t>
  </si>
  <si>
    <t>Number of SKUs</t>
  </si>
  <si>
    <t>Carrier</t>
  </si>
  <si>
    <t>Order Batching</t>
  </si>
  <si>
    <t>Daily (orders cut-off 14:00)</t>
  </si>
  <si>
    <t>Delivery Frequency</t>
  </si>
  <si>
    <t>Currency</t>
  </si>
  <si>
    <t>EUR</t>
  </si>
  <si>
    <t>Data Period</t>
  </si>
  <si>
    <t>Jan 2024 – Dec 2024</t>
  </si>
  <si>
    <t>Fiscal Year</t>
  </si>
  <si>
    <t>Calendar Year</t>
  </si>
  <si>
    <t>Note</t>
  </si>
  <si>
    <t>Route planning currently done manually by dispatcher</t>
  </si>
  <si>
    <t>SKU_ID</t>
  </si>
  <si>
    <t>Product_Name</t>
  </si>
  <si>
    <t>Category</t>
  </si>
  <si>
    <t>Unit_Selling_Price (€)</t>
  </si>
  <si>
    <t>Weight_kg</t>
  </si>
  <si>
    <t>Volume_L</t>
  </si>
  <si>
    <t>Lead_Time_days</t>
  </si>
  <si>
    <t>Min_Order_Qty</t>
  </si>
  <si>
    <t>Supplier</t>
  </si>
  <si>
    <t>SKU-001</t>
  </si>
  <si>
    <t>Shimano Deore Rear Derailleur RD-M5120</t>
  </si>
  <si>
    <t>Drivetrain</t>
  </si>
  <si>
    <t>Shimano EU GmbH</t>
  </si>
  <si>
    <t>SKU-002</t>
  </si>
  <si>
    <t>Shimano Deore Front Derailleur FD-M5100</t>
  </si>
  <si>
    <t>SKU-003</t>
  </si>
  <si>
    <t>SRAM SX Eagle Cassette 11-50T</t>
  </si>
  <si>
    <t>SRAM Europe B.V.</t>
  </si>
  <si>
    <t>SKU-004</t>
  </si>
  <si>
    <t>KMC X11 Chain 116 Links</t>
  </si>
  <si>
    <t>KMC Chain GmbH</t>
  </si>
  <si>
    <t>SKU-005</t>
  </si>
  <si>
    <t>Shimano SM-BB71-41B Bottom Bracket</t>
  </si>
  <si>
    <t>SKU-006</t>
  </si>
  <si>
    <t>Bosch PowerTube 500Wh Battery</t>
  </si>
  <si>
    <t>Electrics</t>
  </si>
  <si>
    <t>Bosch eBike Systems</t>
  </si>
  <si>
    <t>SKU-007</t>
  </si>
  <si>
    <t>Bosch Performance Line CX Motor</t>
  </si>
  <si>
    <t>SKU-008</t>
  </si>
  <si>
    <t>Shimano STEPS E8000 Display</t>
  </si>
  <si>
    <t>SKU-009</t>
  </si>
  <si>
    <t>Busch &amp; Müller IQ-X LED Front Light</t>
  </si>
  <si>
    <t>Busch &amp; Müller KG</t>
  </si>
  <si>
    <t>SKU-010</t>
  </si>
  <si>
    <t>Trelock LS 760 I-Go Rear Light</t>
  </si>
  <si>
    <t>Trelock GmbH</t>
  </si>
  <si>
    <t>SKU-011</t>
  </si>
  <si>
    <t>Magura MT5 Hydraulic Brake Set</t>
  </si>
  <si>
    <t>Brakes</t>
  </si>
  <si>
    <t>Magura GmbH</t>
  </si>
  <si>
    <t>SKU-012</t>
  </si>
  <si>
    <t>Tektro HD-M290 Hydraulic Disc Brake</t>
  </si>
  <si>
    <t>Tektro Europe</t>
  </si>
  <si>
    <t>SKU-013</t>
  </si>
  <si>
    <t>Shimano RT86 Ice-Tech Disc Rotor 180mm</t>
  </si>
  <si>
    <t>SKU-014</t>
  </si>
  <si>
    <t>Kool-Stop Disc Brake Pads (pair)</t>
  </si>
  <si>
    <t>Kool-Stop Intl.</t>
  </si>
  <si>
    <t>SKU-015</t>
  </si>
  <si>
    <t>Schwalbe Smart Sam 29x2.25 Tyre</t>
  </si>
  <si>
    <t>Wheels</t>
  </si>
  <si>
    <t>Schwalbe GmbH</t>
  </si>
  <si>
    <t>SKU-016</t>
  </si>
  <si>
    <t>Schwalbe Marathon Plus 27.5x2.0 Tyre</t>
  </si>
  <si>
    <t>SKU-017</t>
  </si>
  <si>
    <t>Mavic E-XA Elite Rear Wheel 29"</t>
  </si>
  <si>
    <t>Mavic SAS</t>
  </si>
  <si>
    <t>SKU-018</t>
  </si>
  <si>
    <t>DT Swiss XR 1501 Front Wheel 27.5"</t>
  </si>
  <si>
    <t>DT Swiss AG</t>
  </si>
  <si>
    <t>SKU-019</t>
  </si>
  <si>
    <t>Slime Puncture Protection Sealant 500ml</t>
  </si>
  <si>
    <t>Accessories</t>
  </si>
  <si>
    <t>Slime Products</t>
  </si>
  <si>
    <t>SKU-020</t>
  </si>
  <si>
    <t>Park Tool IB-3 Multi-Tool</t>
  </si>
  <si>
    <t>Park Tool Co.</t>
  </si>
  <si>
    <t>SKU-021</t>
  </si>
  <si>
    <t>Topeak Ninja Master Bottle Cage</t>
  </si>
  <si>
    <t>Topeak Inc.</t>
  </si>
  <si>
    <t>SKU-022</t>
  </si>
  <si>
    <t>RockShox Recon Silver RL Fork 29"</t>
  </si>
  <si>
    <t>Suspension</t>
  </si>
  <si>
    <t>SKU-023</t>
  </si>
  <si>
    <t>Fox Rhythm 34 Fork 27.5" 130mm</t>
  </si>
  <si>
    <t>Fox Factory Inc.</t>
  </si>
  <si>
    <t>SKU-024</t>
  </si>
  <si>
    <t>SR Suntour XCR 32 Fork 29" 100mm</t>
  </si>
  <si>
    <t>SR Suntour Europe</t>
  </si>
  <si>
    <t>SKU-025</t>
  </si>
  <si>
    <t>Ergon GE1 Evo Grips (pair)</t>
  </si>
  <si>
    <t>Ergon Bike GmbH</t>
  </si>
  <si>
    <t>SKU-026</t>
  </si>
  <si>
    <t>Selle Royal Respiro Saddle</t>
  </si>
  <si>
    <t>Selle Royal SpA</t>
  </si>
  <si>
    <t>SKU-027</t>
  </si>
  <si>
    <t>Ritchey WCS Carbon Handlebar 720mm</t>
  </si>
  <si>
    <t>Frame Parts</t>
  </si>
  <si>
    <t>Ritchey Design</t>
  </si>
  <si>
    <t>SKU-028</t>
  </si>
  <si>
    <t>Thomson Elite Seatpost 27.2mm</t>
  </si>
  <si>
    <t>Thomson LLC</t>
  </si>
  <si>
    <t>SKU-029</t>
  </si>
  <si>
    <t>Cane Creek 40 Series Headset</t>
  </si>
  <si>
    <t>Cane Creek Cycling</t>
  </si>
  <si>
    <t>SKU-030</t>
  </si>
  <si>
    <t>Shimano PD-EF202 Platform Pedals</t>
  </si>
  <si>
    <t>SKU-031</t>
  </si>
  <si>
    <t>Shimano FC-E8000 Chainring 38T</t>
  </si>
  <si>
    <t>SKU-032</t>
  </si>
  <si>
    <t>Lupine SL Nano E-Bike Light 900lm</t>
  </si>
  <si>
    <t>Lupine Lighting</t>
  </si>
  <si>
    <t>SKU-033</t>
  </si>
  <si>
    <t>Bosch Intuvia Display Unit</t>
  </si>
  <si>
    <t>SKU-034</t>
  </si>
  <si>
    <t>Abus Granit X-Plus 540 Lock</t>
  </si>
  <si>
    <t>ABUS GmbH</t>
  </si>
  <si>
    <t>SKU-035</t>
  </si>
  <si>
    <t>SKS Germany Fender Set 26"</t>
  </si>
  <si>
    <t>SKS Germany GmbH</t>
  </si>
  <si>
    <t>SKU-036</t>
  </si>
  <si>
    <t>Vaude Trailsaddle Bag 1.0L</t>
  </si>
  <si>
    <t>Vaude GmbH &amp; Co.</t>
  </si>
  <si>
    <t>SKU-037</t>
  </si>
  <si>
    <t>Shimano GRX BL-RX600 Brake Lever</t>
  </si>
  <si>
    <t>SKU-038</t>
  </si>
  <si>
    <t>Contec Head-Up Street Helmet L</t>
  </si>
  <si>
    <t>Contec GmbH</t>
  </si>
  <si>
    <t>Customer_ID</t>
  </si>
  <si>
    <t>Shop_Name</t>
  </si>
  <si>
    <t>City</t>
  </si>
  <si>
    <t>Address</t>
  </si>
  <si>
    <t>Lat</t>
  </si>
  <si>
    <t>Long</t>
  </si>
  <si>
    <t>Delivery_Zone</t>
  </si>
  <si>
    <t>Avg_Monthly_Orders</t>
  </si>
  <si>
    <t>Payment_Terms_days</t>
  </si>
  <si>
    <t>Customer_Since</t>
  </si>
  <si>
    <t>C-001</t>
  </si>
  <si>
    <t>Radhaus Schwabing</t>
  </si>
  <si>
    <t>Munich</t>
  </si>
  <si>
    <t>Leopoldstr. 88, 80802 München</t>
  </si>
  <si>
    <t>MUC</t>
  </si>
  <si>
    <t>2019-03-01</t>
  </si>
  <si>
    <t>C-002</t>
  </si>
  <si>
    <t>Bike Corner Maxvorstadt</t>
  </si>
  <si>
    <t>Schellingstr. 45, 80799 München</t>
  </si>
  <si>
    <t>2020-01-15</t>
  </si>
  <si>
    <t>C-003</t>
  </si>
  <si>
    <t>E-Bike Zentrum Pasing</t>
  </si>
  <si>
    <t>Landsberger Str. 302, 81241 München</t>
  </si>
  <si>
    <t>2018-11-20</t>
  </si>
  <si>
    <t>C-004</t>
  </si>
  <si>
    <t>Velodrom München Ost</t>
  </si>
  <si>
    <t>Rosenheimer Str. 145, 81671 München</t>
  </si>
  <si>
    <t>2021-06-01</t>
  </si>
  <si>
    <t>C-005</t>
  </si>
  <si>
    <t>Bergradl GmbH</t>
  </si>
  <si>
    <t>Fraunhoferstr. 26, 80469 München</t>
  </si>
  <si>
    <t>2019-07-10</t>
  </si>
  <si>
    <t>C-006</t>
  </si>
  <si>
    <t>Urban Cycle Neuhausen</t>
  </si>
  <si>
    <t>Nymphenburger Str. 168, 80634 München</t>
  </si>
  <si>
    <t>2020-04-22</t>
  </si>
  <si>
    <t>C-007</t>
  </si>
  <si>
    <t>Radsport Bogenhausen</t>
  </si>
  <si>
    <t>Prinzregentenstr. 72, 81675 München</t>
  </si>
  <si>
    <t>2022-02-14</t>
  </si>
  <si>
    <t>C-008</t>
  </si>
  <si>
    <t>Fahrradwelt Sendling</t>
  </si>
  <si>
    <t>Lindwurmstr. 88, 80337 München</t>
  </si>
  <si>
    <t>2021-09-01</t>
  </si>
  <si>
    <t>C-009</t>
  </si>
  <si>
    <t>Bikeshop Giesing</t>
  </si>
  <si>
    <t>Tegernseer Landstr. 55, 81541 München</t>
  </si>
  <si>
    <t>2023-01-10</t>
  </si>
  <si>
    <t>C-010</t>
  </si>
  <si>
    <t>Radkultur Schwabing</t>
  </si>
  <si>
    <t>Kurfürstenstr. 3, 80801 München</t>
  </si>
  <si>
    <t>2019-05-15</t>
  </si>
  <si>
    <t>C-011</t>
  </si>
  <si>
    <t>Zweirad König Moosach</t>
  </si>
  <si>
    <t>Dachauer Str. 219, 80992 München</t>
  </si>
  <si>
    <t>2020-08-01</t>
  </si>
  <si>
    <t>C-012</t>
  </si>
  <si>
    <t>Cycle Art Haidhausen</t>
  </si>
  <si>
    <t>Wörthstr. 31, 81667 München</t>
  </si>
  <si>
    <t>2021-03-15</t>
  </si>
  <si>
    <t>C-013</t>
  </si>
  <si>
    <t>Campus Bikes TU</t>
  </si>
  <si>
    <t>Arcisstr. 18, 80333 München</t>
  </si>
  <si>
    <t>2018-09-01</t>
  </si>
  <si>
    <t>C-014</t>
  </si>
  <si>
    <t>Radlwerkstatt Perlach</t>
  </si>
  <si>
    <t>Karl-Marx-Ring 12, 81735 München</t>
  </si>
  <si>
    <t>2022-11-01</t>
  </si>
  <si>
    <t>C-015</t>
  </si>
  <si>
    <t>Bike Stop Olympiapark</t>
  </si>
  <si>
    <t>Olympiastr. 5, 80809 München</t>
  </si>
  <si>
    <t>2020-06-15</t>
  </si>
  <si>
    <t>C-016</t>
  </si>
  <si>
    <t>Rad &amp; Tat Stuttgart Mitte</t>
  </si>
  <si>
    <t>Stuttgart</t>
  </si>
  <si>
    <t>Königstr. 12, 70173 Stuttgart</t>
  </si>
  <si>
    <t>STR</t>
  </si>
  <si>
    <t>2019-10-01</t>
  </si>
  <si>
    <t>C-017</t>
  </si>
  <si>
    <t>Eurobike Stuttgart</t>
  </si>
  <si>
    <t>Vaihinger Str. 61, 70567 Stuttgart</t>
  </si>
  <si>
    <t>2020-03-15</t>
  </si>
  <si>
    <t>C-018</t>
  </si>
  <si>
    <t>Fahrrad Riese Stuttgart West</t>
  </si>
  <si>
    <t>Rotebühlstr. 133, 70197 Stuttgart</t>
  </si>
  <si>
    <t>2021-01-01</t>
  </si>
  <si>
    <t>C-019</t>
  </si>
  <si>
    <t>Speedbike Fellbach</t>
  </si>
  <si>
    <t>Stuttgarter Str. 44, 70736 Fellbach</t>
  </si>
  <si>
    <t>2020-07-01</t>
  </si>
  <si>
    <t>C-020</t>
  </si>
  <si>
    <t>Trail Heroes Degerloch</t>
  </si>
  <si>
    <t>Epplestr. 15, 70597 Stuttgart</t>
  </si>
  <si>
    <t>2022-04-10</t>
  </si>
  <si>
    <t>C-021</t>
  </si>
  <si>
    <t>City Cycles Bad Cannstatt</t>
  </si>
  <si>
    <t>König-Karl-Str. 4, 70372 Stuttgart</t>
  </si>
  <si>
    <t>2019-12-01</t>
  </si>
  <si>
    <t>C-022</t>
  </si>
  <si>
    <t>Bikebox Möhringen</t>
  </si>
  <si>
    <t>Vaihinger Markt 5, 70563 Stuttgart</t>
  </si>
  <si>
    <t>2021-08-15</t>
  </si>
  <si>
    <t>C-023</t>
  </si>
  <si>
    <t>Velo Lounge Ludwigsburg</t>
  </si>
  <si>
    <t>Wilhelmstr. 22, 71638 Ludwigsburg</t>
  </si>
  <si>
    <t>2020-11-01</t>
  </si>
  <si>
    <t>C-024</t>
  </si>
  <si>
    <t>Radshop Waiblingen</t>
  </si>
  <si>
    <t>Marktgasse 8, 71332 Waiblingen</t>
  </si>
  <si>
    <t>2023-03-01</t>
  </si>
  <si>
    <t>C-025</t>
  </si>
  <si>
    <t>Bike House Nuremberg</t>
  </si>
  <si>
    <t>Nuremberg</t>
  </si>
  <si>
    <t>Königstorgraben 3, 90402 Nürnberg</t>
  </si>
  <si>
    <t>NUE</t>
  </si>
  <si>
    <t>2019-04-15</t>
  </si>
  <si>
    <t>C-026</t>
  </si>
  <si>
    <t>Radsport Süd Nürnberg</t>
  </si>
  <si>
    <t>Südliche Fürther Str. 23, 90429 Nürnberg</t>
  </si>
  <si>
    <t>2020-09-01</t>
  </si>
  <si>
    <t>C-027</t>
  </si>
  <si>
    <t>Cityrad Fürth</t>
  </si>
  <si>
    <t>Schwabacher Str. 99, 90763 Fürth</t>
  </si>
  <si>
    <t>2021-02-01</t>
  </si>
  <si>
    <t>C-028</t>
  </si>
  <si>
    <t>Trail &amp; Tour Lauf</t>
  </si>
  <si>
    <t>Nürnberger Str. 28, 91207 Lauf a.d.Pegnitz</t>
  </si>
  <si>
    <t>2022-05-01</t>
  </si>
  <si>
    <t>C-029</t>
  </si>
  <si>
    <t>Rad Garage Erlangen</t>
  </si>
  <si>
    <t>Hauptstr. 54, 91054 Erlangen</t>
  </si>
  <si>
    <t>C-030</t>
  </si>
  <si>
    <t>Bikehalle Schwabach</t>
  </si>
  <si>
    <t>Roth Str. 15, 91126 Schwabach</t>
  </si>
  <si>
    <t>2023-07-01</t>
  </si>
  <si>
    <t>C-031</t>
  </si>
  <si>
    <t>Velozität Zirndorf</t>
  </si>
  <si>
    <t>Ansbacher Str. 20, 90513 Zirndorf</t>
  </si>
  <si>
    <t>2022-09-15</t>
  </si>
  <si>
    <t>C-032</t>
  </si>
  <si>
    <t>E-Bike Point Stein</t>
  </si>
  <si>
    <t>Rathausplatz 2, 90547 Stein</t>
  </si>
  <si>
    <t>2021-06-15</t>
  </si>
  <si>
    <t>C-033</t>
  </si>
  <si>
    <t>Radzeit Frankfurt Mitte</t>
  </si>
  <si>
    <t>Frankfurt</t>
  </si>
  <si>
    <t>Zeil 88, 60313 Frankfurt am Main</t>
  </si>
  <si>
    <t>FRA</t>
  </si>
  <si>
    <t>2019-06-01</t>
  </si>
  <si>
    <t>C-034</t>
  </si>
  <si>
    <t>Bike Republic Sachsenhausen</t>
  </si>
  <si>
    <t>Schweizer Str. 44, 60594 Frankfurt</t>
  </si>
  <si>
    <t>2020-05-15</t>
  </si>
  <si>
    <t>C-035</t>
  </si>
  <si>
    <t>Cycle Center Bornheim</t>
  </si>
  <si>
    <t>Berger Str. 211, 60385 Frankfurt</t>
  </si>
  <si>
    <t>2021-03-01</t>
  </si>
  <si>
    <t>C-036</t>
  </si>
  <si>
    <t>Frankfurt Bike Co.</t>
  </si>
  <si>
    <t>Hanauer Landstr. 58, 60314 Frankfurt</t>
  </si>
  <si>
    <t>2020-10-01</t>
  </si>
  <si>
    <t>C-037</t>
  </si>
  <si>
    <t>Radwelt Offenbach</t>
  </si>
  <si>
    <t>Frankfurter Str. 55, 63065 Offenbach</t>
  </si>
  <si>
    <t>2021-11-15</t>
  </si>
  <si>
    <t>C-038</t>
  </si>
  <si>
    <t>Urban Rider Bockenheim</t>
  </si>
  <si>
    <t>Leipziger Str. 35, 60487 Frankfurt</t>
  </si>
  <si>
    <t>2019-09-01</t>
  </si>
  <si>
    <t>C-039</t>
  </si>
  <si>
    <t>Bikezone Nordend</t>
  </si>
  <si>
    <t>Eckenheimer Landstr. 78, 60318 Frankfurt</t>
  </si>
  <si>
    <t>2022-01-15</t>
  </si>
  <si>
    <t>C-040</t>
  </si>
  <si>
    <t>Darmstädter Radstudio</t>
  </si>
  <si>
    <t>Rheinstr. 22, 64295 Darmstadt</t>
  </si>
  <si>
    <t>2022-08-01</t>
  </si>
  <si>
    <t>C-041</t>
  </si>
  <si>
    <t>Radhaus Augsburg City</t>
  </si>
  <si>
    <t>Augsburg</t>
  </si>
  <si>
    <t>Maximilianstr. 14, 86150 Augsburg</t>
  </si>
  <si>
    <t>AUG</t>
  </si>
  <si>
    <t>2019-11-01</t>
  </si>
  <si>
    <t>C-042</t>
  </si>
  <si>
    <t>E-Bike Welt Pfersee</t>
  </si>
  <si>
    <t>Friedberger Str. 28, 86161 Augsburg</t>
  </si>
  <si>
    <t>2020-07-15</t>
  </si>
  <si>
    <t>C-043</t>
  </si>
  <si>
    <t>Bike Corner Lechhausen</t>
  </si>
  <si>
    <t>Donauwörther Str. 45, 86154 Augsburg</t>
  </si>
  <si>
    <t>2021-04-01</t>
  </si>
  <si>
    <t>C-044</t>
  </si>
  <si>
    <t>Zweirad Mayer Bobingen</t>
  </si>
  <si>
    <t>Hauptstr. 8, 86399 Bobingen</t>
  </si>
  <si>
    <t>2022-06-01</t>
  </si>
  <si>
    <t>C-045</t>
  </si>
  <si>
    <t>Cycle Plus Königsbrunn</t>
  </si>
  <si>
    <t>Marktplatz 11, 86343 Königsbrunn</t>
  </si>
  <si>
    <t>2021-12-15</t>
  </si>
  <si>
    <t>C-046</t>
  </si>
  <si>
    <t>Radsport Gersthofen</t>
  </si>
  <si>
    <t>Bahnhofstr. 18, 86368 Gersthofen</t>
  </si>
  <si>
    <t>2023-02-01</t>
  </si>
  <si>
    <t>C-047</t>
  </si>
  <si>
    <t>Trail Bikes Stadtbergen</t>
  </si>
  <si>
    <t>Augsburger Str. 34, 86391 Stadtbergen</t>
  </si>
  <si>
    <t>2022-10-01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</si>
  <si>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</si>
  <si>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</si>
  <si>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</si>
  <si>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</si>
  <si>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</si>
  <si>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</si>
  <si>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</si>
  <si>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</si>
  <si>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</si>
  <si>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</si>
  <si>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</si>
  <si>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</si>
  <si>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Total_2024</t>
  </si>
  <si>
    <t>Route_ID</t>
  </si>
  <si>
    <t>Route_Name</t>
  </si>
  <si>
    <t>Departure_Point</t>
  </si>
  <si>
    <t>Stops_incl_return</t>
  </si>
  <si>
    <t>Estimated_Distance_km</t>
  </si>
  <si>
    <t>Estimated_Duration_hrs</t>
  </si>
  <si>
    <t>Frequency_per_week</t>
  </si>
  <si>
    <t>Cost_per_run_€</t>
  </si>
  <si>
    <t>Cost_per_km_€</t>
  </si>
  <si>
    <t>Vehicle_Type</t>
  </si>
  <si>
    <t>Max_Capacity_kg</t>
  </si>
  <si>
    <t>Avg_Load_kg</t>
  </si>
  <si>
    <t>Notes</t>
  </si>
  <si>
    <t>R-01</t>
  </si>
  <si>
    <t>Munich Inner Ring</t>
  </si>
  <si>
    <t>München Warehouse</t>
  </si>
  <si>
    <t>Sprinter 3.5t</t>
  </si>
  <si>
    <t>Covers Schwabing, Maxvorstadt, Sendling, Haidhausen</t>
  </si>
  <si>
    <t>R-02</t>
  </si>
  <si>
    <t>Munich Outer Ring</t>
  </si>
  <si>
    <t>Covers Moosach, Pasing, Perlach, Bogenhausen, Giesing</t>
  </si>
  <si>
    <t>R-03</t>
  </si>
  <si>
    <t>Stuttgart Run</t>
  </si>
  <si>
    <t>All Stuttgart zone customers in single weekly run</t>
  </si>
  <si>
    <t>R-04</t>
  </si>
  <si>
    <t>Nuremberg Run</t>
  </si>
  <si>
    <t>All Nuremberg zone; includes Erlangen detour</t>
  </si>
  <si>
    <t>R-05</t>
  </si>
  <si>
    <t>Frankfurt Run</t>
  </si>
  <si>
    <t>Long haul; driver overnight sometimes needed</t>
  </si>
  <si>
    <t>R-06</t>
  </si>
  <si>
    <t>Augsburg Run</t>
  </si>
  <si>
    <t>Covers all Augsburg customers; Bobingen loop not optimized</t>
  </si>
  <si>
    <t>R-07</t>
  </si>
  <si>
    <t>Express MUC</t>
  </si>
  <si>
    <t>Car (DPD courier)</t>
  </si>
  <si>
    <t>Ad-hoc emergency deliveries; avg 2–3 per month</t>
  </si>
  <si>
    <t>R-08</t>
  </si>
  <si>
    <t>Express OUT</t>
  </si>
  <si>
    <t>ALL</t>
  </si>
  <si>
    <t>DPD Express parcel</t>
  </si>
  <si>
    <t>Current_Stock_Units</t>
  </si>
  <si>
    <t>Reorder_Point_units</t>
  </si>
  <si>
    <t>Reorder_Qty_units</t>
  </si>
  <si>
    <t>Safety_Stock_units</t>
  </si>
  <si>
    <t>Avg_Monthly_Demand</t>
  </si>
  <si>
    <t>Purchase_Cost_per_unit_€</t>
  </si>
  <si>
    <t>Current_Stock_Value_€</t>
  </si>
  <si>
    <t>Stockout_events_2024</t>
  </si>
  <si>
    <t>Emergency_orders_2024</t>
  </si>
  <si>
    <t>Emergency_order_cost_€_total</t>
  </si>
  <si>
    <t>Reorder point set manually; not updated since 2022</t>
  </si>
  <si>
    <t>Irregular supplier lead time from SRAM</t>
  </si>
  <si>
    <t>High runner; usually well stocked</t>
  </si>
  <si>
    <t>High value – finance requested low stock targets</t>
  </si>
  <si>
    <t>Had 3 stockouts in summer 2024</t>
  </si>
  <si>
    <t>Cheap item – overstocked due to large MOQ</t>
  </si>
  <si>
    <t>Seasonal demand not reflected in reorder point</t>
  </si>
  <si>
    <t>Very lumpy demand – hard to plan</t>
  </si>
  <si>
    <t>Overstocked; reorder qty not reviewed</t>
  </si>
  <si>
    <t>Long lead time from SRAM – needs higher SS</t>
  </si>
  <si>
    <t>Long lead time from Fox – needs higher SS</t>
  </si>
  <si>
    <t>Lupine has unreliable delivery</t>
  </si>
  <si>
    <t>Cost_Category</t>
  </si>
  <si>
    <t>Sub_Category</t>
  </si>
  <si>
    <t>Value_€</t>
  </si>
  <si>
    <t>Unit</t>
  </si>
  <si>
    <t>Frequency</t>
  </si>
  <si>
    <t>Annual_Est_€</t>
  </si>
  <si>
    <t>Inbound</t>
  </si>
  <si>
    <t>Shimano EU GmbH – freight</t>
  </si>
  <si>
    <t>per shipment</t>
  </si>
  <si>
    <t>~2x/month</t>
  </si>
  <si>
    <t>FCA Incoterms; UrbanSpark pays freight from DE distribution centre</t>
  </si>
  <si>
    <t>SRAM Europe B.V. – freight</t>
  </si>
  <si>
    <t>~1x/month</t>
  </si>
  <si>
    <t>FCA Incoterms; from Amsterdam</t>
  </si>
  <si>
    <t>Bosch eBike Systems – freight</t>
  </si>
  <si>
    <t>included</t>
  </si>
  <si>
    <t>DDP; Bosch delivers to warehouse free of charge</t>
  </si>
  <si>
    <t>KMC / other small suppliers</t>
  </si>
  <si>
    <t>Various; mostly DHL Paket</t>
  </si>
  <si>
    <t>Customs / broker fees</t>
  </si>
  <si>
    <t>annual flat</t>
  </si>
  <si>
    <t>n/a</t>
  </si>
  <si>
    <t>All EU suppliers; no customs</t>
  </si>
  <si>
    <t>Distribution</t>
  </si>
  <si>
    <t>DPD contract rate – per km</t>
  </si>
  <si>
    <t>€/km</t>
  </si>
  <si>
    <t>per run</t>
  </si>
  <si>
    <t>—</t>
  </si>
  <si>
    <t>Carrier contract rate incl. fuel surcharge as of Jan 2024</t>
  </si>
  <si>
    <t>Fixed handling fee per run</t>
  </si>
  <si>
    <t>DPD loading/admin fee per departure</t>
  </si>
  <si>
    <t>Route R-01 Munich Inner Ring</t>
  </si>
  <si>
    <t>3x/week</t>
  </si>
  <si>
    <t>Route R-02 Munich Outer Ring</t>
  </si>
  <si>
    <t>Route R-03 Stuttgart Run</t>
  </si>
  <si>
    <t>1x/week</t>
  </si>
  <si>
    <t>Route R-04 Nuremberg Run</t>
  </si>
  <si>
    <t>Route R-05 Frankfurt Run</t>
  </si>
  <si>
    <t>Includes est. €40 driver allowance for long day / overnights</t>
  </si>
  <si>
    <t>Route R-06 Augsburg Run</t>
  </si>
  <si>
    <t>2x/week</t>
  </si>
  <si>
    <t>148km x 1.25 + 18; Bobingen loop adds ~12km unnecessarily</t>
  </si>
  <si>
    <t>Last Mile</t>
  </si>
  <si>
    <t>Express MUC (courier car)</t>
  </si>
  <si>
    <t>per dispatch</t>
  </si>
  <si>
    <t>avg 2.5x/month</t>
  </si>
  <si>
    <t>Ad-hoc emergency; covers MUC only</t>
  </si>
  <si>
    <t>DPD Express parcel outbound</t>
  </si>
  <si>
    <t>per parcel</t>
  </si>
  <si>
    <t>avg 1.5x/month</t>
  </si>
  <si>
    <t>For urgent outlying customers (STR/NUE/FRA/AUG)</t>
  </si>
  <si>
    <t>Inventory</t>
  </si>
  <si>
    <t>Warehouse storage</t>
  </si>
  <si>
    <t>€/m²/month</t>
  </si>
  <si>
    <t>monthly</t>
  </si>
  <si>
    <t>1850m² x 8.50 x 12 = total annual warehouse rent</t>
  </si>
  <si>
    <t>Capital holding rate</t>
  </si>
  <si>
    <t>% of inv value</t>
  </si>
  <si>
    <t>annual</t>
  </si>
  <si>
    <t>18% p.a. assumption; covers financing cost + insurance</t>
  </si>
  <si>
    <t>Order processing cost</t>
  </si>
  <si>
    <t>per PO</t>
  </si>
  <si>
    <t>per order</t>
  </si>
  <si>
    <t>Internal admin cost per purchase order placed</t>
  </si>
  <si>
    <t>Total_Annual_Revenue</t>
  </si>
  <si>
    <t>Rank</t>
  </si>
  <si>
    <t>Annual_Revenue</t>
  </si>
  <si>
    <t>#</t>
  </si>
  <si>
    <t>ABC</t>
  </si>
  <si>
    <t>Cumulative_Annual_Revenue_%</t>
  </si>
  <si>
    <t>Avg_Monthly</t>
  </si>
  <si>
    <t>StdDev_Monthly</t>
  </si>
  <si>
    <t>CoV</t>
  </si>
  <si>
    <t>XYZ</t>
  </si>
  <si>
    <t>ABC_XYZ</t>
  </si>
  <si>
    <t>Subtitle</t>
  </si>
  <si>
    <t>Avg</t>
  </si>
  <si>
    <t>Average</t>
  </si>
  <si>
    <t>StdDev</t>
  </si>
  <si>
    <t>Standard Deviation</t>
  </si>
  <si>
    <t>Mixed – Own fleet (MUC routes) + DPD Germany 3PL (long-haul routes)</t>
  </si>
  <si>
    <t>DPD 3PL Sprinter</t>
  </si>
  <si>
    <t>314km x 1.25 + 18 (DPD)</t>
  </si>
  <si>
    <t>DPD runs exclude €18 handling fee — see Transport_Cost. Express shipments also in Transport_Cost</t>
  </si>
  <si>
    <t xml:space="preserve"> Total Tied Capital -&gt; </t>
  </si>
  <si>
    <t>Covariance (coefficient of variation)</t>
  </si>
  <si>
    <t>up to 3x per week (Mon/Wed/Fri)</t>
  </si>
  <si>
    <t>FCA</t>
  </si>
  <si>
    <t>DDP</t>
  </si>
  <si>
    <t>Delivered Duty Paid</t>
  </si>
  <si>
    <t>Free Carrier</t>
  </si>
  <si>
    <t>Urban Spark Logistics GmbH – As-Is KPI Baseline (2024)</t>
  </si>
  <si>
    <t>KPI</t>
  </si>
  <si>
    <t>Source</t>
  </si>
  <si>
    <t>1. Transport Costs</t>
  </si>
  <si>
    <t>Total Inbound</t>
  </si>
  <si>
    <t>Total Distribution</t>
  </si>
  <si>
    <t>Total Emergency / Express Costs</t>
  </si>
  <si>
    <t>2. Route Efficiency</t>
  </si>
  <si>
    <t>Average Route Distance</t>
  </si>
  <si>
    <t>Average Route Duration</t>
  </si>
  <si>
    <t>TOTAL Annual Distance (all routes)</t>
  </si>
  <si>
    <t xml:space="preserve">3. Inventory </t>
  </si>
  <si>
    <t>Total Tied Capital (Stock Value at Purchase Cost)</t>
  </si>
  <si>
    <t>Annual Warehouse Storage Cost</t>
  </si>
  <si>
    <t>Annual Inventory Holding Cost</t>
  </si>
  <si>
    <t>TOTAL Annual Transport Cost</t>
  </si>
  <si>
    <t>Estimated Annual Ordering Cost</t>
  </si>
  <si>
    <t>Inventory Turnover Ratio</t>
  </si>
  <si>
    <t>Day Sales of Inventory (DSI)</t>
  </si>
  <si>
    <t>4. Stockouts and Emergency Shipments</t>
  </si>
  <si>
    <t>Stockout Frequency</t>
  </si>
  <si>
    <t>Total Emergency Order Cost</t>
  </si>
  <si>
    <t>5. Total Annual Logistics Cost</t>
  </si>
  <si>
    <t>Total Annual Logistics Cost</t>
  </si>
  <si>
    <t>Key Assumptions and Methodology</t>
  </si>
  <si>
    <t>62km x 2,39 (own fleet)</t>
  </si>
  <si>
    <t>98km x 1,82 (own fleet)</t>
  </si>
  <si>
    <t>220km x 1.25 + 18 (DPD)</t>
  </si>
  <si>
    <t>Transport_Costs (row 2-6)</t>
  </si>
  <si>
    <t>Transport_Costs (row 9-14 + handling fees)</t>
  </si>
  <si>
    <t>Transport_Costs (row 15-16)</t>
  </si>
  <si>
    <t>Parcel service for urgent outlying customer; hard to calculate</t>
  </si>
  <si>
    <t>km / week</t>
  </si>
  <si>
    <t>km / route</t>
  </si>
  <si>
    <t>hrs / route</t>
  </si>
  <si>
    <t>Total Weekly Distance</t>
  </si>
  <si>
    <t>Current_Routes (R-01 to R-06)</t>
  </si>
  <si>
    <t>km / year</t>
  </si>
  <si>
    <t>€</t>
  </si>
  <si>
    <t>€ / year</t>
  </si>
  <si>
    <t>Total Tied Capital x 18% (Capital Holding rate)</t>
  </si>
  <si>
    <t>∑ Transports Costs</t>
  </si>
  <si>
    <t>Transport_Costs (row 17)</t>
  </si>
  <si>
    <t>Total_Orders_2024</t>
  </si>
  <si>
    <t>Total Orders were rounded up to the next whole number since ordering e.g. 0,3 orders is not possible</t>
  </si>
  <si>
    <t>Calculated: 266 POs x 22 € per PO</t>
  </si>
  <si>
    <t>x / year</t>
  </si>
  <si>
    <t>Calculated: SUMPRODUCT(Total_2024 × Purchase_Cost_per_Unit_€) ÷ Total Stock Value</t>
  </si>
  <si>
    <t>Notes / Methodology</t>
  </si>
  <si>
    <t>COGS (units sold × purchase cost) ÷ closing stock value; closing stock used as proxy for avg inventory</t>
  </si>
  <si>
    <t>Calculated from weekly total x 52</t>
  </si>
  <si>
    <t>days</t>
  </si>
  <si>
    <t>Calculated: 365 ÷ Inventory Turnover</t>
  </si>
  <si>
    <t>Average number of days stock is held before being sold</t>
  </si>
  <si>
    <t>events / year</t>
  </si>
  <si>
    <t>Inventory_Costs (∑Stockout_events_2024)</t>
  </si>
  <si>
    <t>Total recorded stockout events across all SKUs in 2024</t>
  </si>
  <si>
    <t xml:space="preserve">SKUs affected by at least one stockout </t>
  </si>
  <si>
    <t>SKUs</t>
  </si>
  <si>
    <t>Inventory_Costs (Stockout_events_2024)</t>
  </si>
  <si>
    <t>Number of distinct SKUs that experienced ≥1 stockout in 2024</t>
  </si>
  <si>
    <t>Inventory_Costs (∑Emergency_orders_2024)</t>
  </si>
  <si>
    <r>
      <t xml:space="preserve">The </t>
    </r>
    <r>
      <rPr>
        <i/>
        <sz val="10"/>
        <color theme="1" tint="0.249977111117893"/>
        <rFont val="Calibri"/>
        <family val="2"/>
        <charset val="1"/>
      </rPr>
      <t>Estimated Annual Ordering Cost (number of POs × €22) covers only planned, routine replenishment orders</t>
    </r>
  </si>
  <si>
    <t>Unplanned, reactive, and often placed outside the normal purchasing process (not part of Est. Annual Ordering Cost)</t>
  </si>
  <si>
    <t>Calculated: Transport + Holding Cost + Storage Cost + Ordering Cost + Emergency Order Cost</t>
  </si>
  <si>
    <t>• Weeks per year: 52 (UrbanSpark operates year-round; no planned shutdowns assumed)</t>
  </si>
  <si>
    <t>• Holding cost rate: 18% p.a. of inventory value (covers capital cost + insurance; see Transport_Costs sheet)</t>
  </si>
  <si>
    <t>• Ordering cost: €22 per purchase order (internal admin cost; see Transport_Costs sheet)</t>
  </si>
  <si>
    <t>• Inventory turnover uses closing stock (Dec 2024) as proxy for average inventory — a simplification noted as limitation</t>
  </si>
  <si>
    <t>• Average inventory value was approximated using the end-of-period stock snapshot (Dec 2024), as beginning-of-year inventory data was not available. In practice, average inventory would be calculated from periodic stock counts throughout the year.</t>
  </si>
  <si>
    <t>• Express/emergency transport costs are estimates based on average monthly dispatch frequency (Transport_Costs sheet)</t>
  </si>
  <si>
    <t>• DPD handling fee (€18/run) is applied to all outbound DPD routes (R-03, R-04, R-05, R-06) and is excluded from Current_Routes cost_per_run column (see footnote in that sheet)</t>
  </si>
  <si>
    <t>• OTD and Order Fulfilment Rate were excluded: no order timestamp data available. Improvement in these metrics is expected as a consequence of reduced stockouts and optimised routing.</t>
  </si>
  <si>
    <t>The path always starts in the first row of the corresponding Path Id and ends in the last row of the corresponding Path Id.</t>
  </si>
  <si>
    <t>Path Id</t>
  </si>
  <si>
    <t>Name</t>
  </si>
  <si>
    <t>Input Last Mile Lat Lng</t>
  </si>
  <si>
    <t>Lat/Lon</t>
  </si>
  <si>
    <t>Latitude</t>
  </si>
  <si>
    <t>Longitude</t>
  </si>
  <si>
    <t>Route_MUC</t>
  </si>
  <si>
    <t>Route_STR</t>
  </si>
  <si>
    <t>Route_NUE</t>
  </si>
  <si>
    <t>Route_FRA</t>
  </si>
  <si>
    <t>Route_AUG</t>
  </si>
  <si>
    <t>UrbanSpark Warehouse MUC Start</t>
  </si>
  <si>
    <t>UrbanSpark Warehouse MUC End</t>
  </si>
  <si>
    <t>UrbanSpark Warehouse STR Start</t>
  </si>
  <si>
    <t>UrbanSpark Warehouse STR End</t>
  </si>
  <si>
    <t>UrbanSpark Warehouse NUE Start</t>
  </si>
  <si>
    <t>UrbanSpark Warehouse NUE End</t>
  </si>
  <si>
    <t>UrbanSpark Warehouse FRA Start</t>
  </si>
  <si>
    <t>UrbanSpark Warehouse FRA End</t>
  </si>
  <si>
    <t>UrbanSpark Warehouse AUG Start</t>
  </si>
  <si>
    <t>UrbanSpark Warehouse AUG End</t>
  </si>
  <si>
    <t>Total Distance</t>
  </si>
  <si>
    <t>Total Duration</t>
  </si>
  <si>
    <t>Max Height</t>
  </si>
  <si>
    <t>Min Height</t>
  </si>
  <si>
    <t>Meters Up</t>
  </si>
  <si>
    <t>Meters Down</t>
  </si>
  <si>
    <t>Transport Leg</t>
  </si>
  <si>
    <t>Start</t>
  </si>
  <si>
    <t>End</t>
  </si>
  <si>
    <t>Distance</t>
  </si>
  <si>
    <t>Duration</t>
  </si>
  <si>
    <t>Result 1</t>
  </si>
  <si>
    <t>MUC_1 N&amp;W</t>
  </si>
  <si>
    <t>UrbanSpark Warehouse MUC_1 Start</t>
  </si>
  <si>
    <t>UrbanSpark Warehouse MUC_2 Start</t>
  </si>
  <si>
    <t>UrbanSpark Warehouse MUC_2 End</t>
  </si>
  <si>
    <t>UrbanSpark Warehouse MUC_1 End</t>
  </si>
  <si>
    <t>MUC_2 S&amp;E</t>
  </si>
  <si>
    <t>Results 2 (MUC)</t>
  </si>
  <si>
    <t>Optimized_Distance_km</t>
  </si>
  <si>
    <t>Optimized_Duration_hrs</t>
  </si>
  <si>
    <t>Annual_Cost_€</t>
  </si>
  <si>
    <t>Munich Inner Ring (MUC_1)</t>
  </si>
  <si>
    <t>Munich Outer Ring (MUC_2)</t>
  </si>
  <si>
    <t>Stuttgart Run (STR)</t>
  </si>
  <si>
    <t>Nuremberg Run (NUE)</t>
  </si>
  <si>
    <t>Frankfurt Run (FRA)</t>
  </si>
  <si>
    <t>Augsburg Run (AUG)</t>
  </si>
  <si>
    <t>MUC (S&amp;E)</t>
  </si>
  <si>
    <t>MUC (N&amp;W)</t>
  </si>
  <si>
    <t>Warehouse return is included in stop counts for DPD runs for consistency with Log-Hub distance calculations, but physically DPD routes do not return to the UrbanSpark warehouse.</t>
  </si>
  <si>
    <t>Here the Distance is being Displayed as one-way, for roung trip = distance x 2</t>
  </si>
  <si>
    <t>Estimated_Distance_km2</t>
  </si>
  <si>
    <t>Here the Distance is being Displayed as round-trip</t>
  </si>
  <si>
    <t>Not possible due to Vehicle's capacity – Better Optimazation at "Input Last Mile MUC"</t>
  </si>
  <si>
    <t>Distance Saved or Lost in comparison to As-Is distances</t>
  </si>
  <si>
    <t>Δ_Duration_hrs</t>
  </si>
  <si>
    <t>Δ_Distance_km</t>
  </si>
  <si>
    <t>Time saved or lost in comparison to As-Is duration</t>
  </si>
  <si>
    <t>Δ_Cost_per_run_€</t>
  </si>
  <si>
    <t>Δ_Annual_Cost_€</t>
  </si>
  <si>
    <t>Final_Cost_€</t>
  </si>
  <si>
    <t>Annual_Opt._Cost_€</t>
  </si>
  <si>
    <t>Annual Cost Comparison</t>
  </si>
  <si>
    <t xml:space="preserve">Final Cost for a single run with 18€ flat rate from DPD taken into consideration  </t>
  </si>
  <si>
    <t>R-07 and R-08 were not optimized given they are reactive measures, not constant routes</t>
  </si>
  <si>
    <t>Service_Level_Z</t>
  </si>
  <si>
    <t>New_ROP</t>
  </si>
  <si>
    <t>New_Safety_Stock</t>
  </si>
  <si>
    <t>Lead_Times_days</t>
  </si>
  <si>
    <t>Notes &amp; Methodology</t>
  </si>
  <si>
    <t>• A items = 98% service level (Z=2,05)</t>
  </si>
  <si>
    <t>• B items = 95% service level (Z=1,65)</t>
  </si>
  <si>
    <t>• C items = 90% service level (Z=1,28)</t>
  </si>
  <si>
    <t>• Month = 30 days</t>
  </si>
  <si>
    <t>Annual_Demand_2024</t>
  </si>
  <si>
    <t>Unit_Purchase_Cost_€</t>
  </si>
  <si>
    <t>Unit_Selling_Price_€</t>
  </si>
  <si>
    <t>Old_Safety_Stock</t>
  </si>
  <si>
    <t>Δ_SS</t>
  </si>
  <si>
    <t>Old_ROP</t>
  </si>
  <si>
    <t>Δ_ROP</t>
  </si>
  <si>
    <t>Old_Order_qty</t>
  </si>
  <si>
    <t>Δ_Order_qty</t>
  </si>
  <si>
    <t>New_ROP_LowSeason</t>
  </si>
  <si>
    <t>New_ROP_HighSeason</t>
  </si>
  <si>
    <t>New_HiSe_Avg</t>
  </si>
  <si>
    <t>New_LoSe_Avg</t>
  </si>
  <si>
    <t xml:space="preserve">Additional Recommendation for seasonal items (2 ROP based on season-split). HiSe (Feb-Aug) &amp; LoSe (Set-Jan) </t>
  </si>
  <si>
    <t>EOQ</t>
  </si>
  <si>
    <t>As-Is_value</t>
  </si>
  <si>
    <t>To-Be_value</t>
  </si>
  <si>
    <t>Δ (Savings) €</t>
  </si>
  <si>
    <t>Tied Capital (theoreitcal avg.)</t>
  </si>
  <si>
    <t>Annual Holding Cost (18%)</t>
  </si>
  <si>
    <t>Annual Ordering Cost</t>
  </si>
  <si>
    <t>• Tied Capital is compared by calculating average Inv. through EOQ/2 + SS</t>
  </si>
  <si>
    <t xml:space="preserve">Financial Summary </t>
  </si>
  <si>
    <t>Total Inventory Policy Cost</t>
  </si>
  <si>
    <t>• Assumes every item follows (s, Q) Policy</t>
  </si>
  <si>
    <t>As-Is Value</t>
  </si>
  <si>
    <t>To-Be Value</t>
  </si>
  <si>
    <t xml:space="preserve"> ((Reorder_qty/2)+SS)*Purchase_Cost</t>
  </si>
  <si>
    <t xml:space="preserve">Inventory_Cost </t>
  </si>
  <si>
    <t xml:space="preserve">• Stockout Frequency calculated by multiplying As-Is value by relative frequency (33 × (1 − 0.74) ≈ 8.6 → ~9 events/year).						</t>
  </si>
  <si>
    <t xml:space="preserve">• Total Emergency Cost and SKUs affected by at least one stockout both calculating by multiplying As-Is value with 9/33 ratio.				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</si>
</sst>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164" formatCode="0.00000"/>
    <numFmt numFmtId="165" formatCode="0.000000"/>
    <numFmt numFmtId="166" formatCode="0.0"/>
    <numFmt numFmtId="167" formatCode="#,##0.000000"/>
  </numFmts>
  <fonts count="33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charset val="1"/>
    </font>
    <font>
      <sz val="12"/>
      <color rgb="FF9C0006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8"/>
      <name val="Calibri"/>
      <family val="2"/>
      <charset val="1"/>
    </font>
    <font>
      <b/>
      <sz val="10"/>
      <name val="Arial"/>
      <family val="2"/>
      <charset val="1"/>
    </font>
    <font>
      <b/>
      <sz val="11"/>
      <color theme="1"/>
      <name val="Calibri"/>
      <family val="2"/>
    </font>
    <font>
      <sz val="10"/>
      <name val="Arial"/>
      <family val="2"/>
      <charset val="1"/>
    </font>
    <font>
      <sz val="11"/>
      <color theme="1"/>
      <name val="Arial"/>
      <family val="2"/>
    </font>
    <font>
      <sz val="12"/>
      <color rgb="FFFFFFFF"/>
      <name val="Arial"/>
      <family val="2"/>
    </font>
    <font>
      <i/>
      <sz val="10"/>
      <color theme="1" tint="0.249977111117893"/>
      <name val="Arial"/>
      <family val="2"/>
    </font>
    <font>
      <b/>
      <sz val="14"/>
      <color theme="0"/>
      <name val="Arial"/>
      <family val="2"/>
    </font>
    <font>
      <b/>
      <sz val="11"/>
      <color theme="1"/>
      <name val="Arial"/>
      <family val="2"/>
    </font>
    <font>
      <b/>
      <i/>
      <sz val="10"/>
      <color theme="1" tint="0.249977111117893"/>
      <name val="Arial"/>
      <family val="2"/>
    </font>
    <font>
      <i/>
      <sz val="10"/>
      <color theme="1"/>
      <name val="Arial"/>
      <family val="2"/>
    </font>
    <font>
      <b/>
      <sz val="12"/>
      <color theme="0"/>
      <name val="Arial"/>
      <family val="2"/>
    </font>
    <font>
      <b/>
      <sz val="12"/>
      <color rgb="FFFFFFFF"/>
      <name val="Arial"/>
      <family val="2"/>
    </font>
    <font>
      <i/>
      <sz val="10"/>
      <color theme="1" tint="0.249977111117893"/>
      <name val="Calibri"/>
      <family val="2"/>
      <charset val="1"/>
    </font>
    <font>
      <sz val="20"/>
      <color rgb="FF404040"/>
      <name val="Calibri Light"/>
      <family val="2"/>
    </font>
    <font>
      <sz val="16"/>
      <color rgb="FFFFFFFF"/>
      <name val="Calibri Light"/>
      <family val="2"/>
    </font>
    <font>
      <sz val="10"/>
      <color rgb="FF006100"/>
      <name val="Calibri"/>
      <family val="2"/>
    </font>
    <font>
      <sz val="14"/>
      <color theme="1"/>
      <name val="Calibri"/>
      <family val="2"/>
    </font>
    <font>
      <sz val="11"/>
      <color rgb="FF000000"/>
      <name val="Calibri"/>
      <family val="2"/>
      <charset val="1"/>
    </font>
    <font>
      <i/>
      <sz val="11"/>
      <color theme="1"/>
      <name val="Calibri"/>
      <family val="2"/>
    </font>
    <font>
      <i/>
      <sz val="10"/>
      <name val="Arial"/>
      <family val="2"/>
    </font>
    <font>
      <b/>
      <sz val="11"/>
      <color theme="0"/>
      <name val="Calibri"/>
      <family val="2"/>
    </font>
    <font>
      <b/>
      <sz val="11"/>
      <color theme="0"/>
      <name val="Calibri"/>
      <family val="2"/>
      <charset val="1"/>
    </font>
    <font>
      <b/>
      <sz val="11"/>
      <color theme="1"/>
      <name val="Calibri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rgb="FFC6EFCE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366092"/>
        <bgColor rgb="FF000000"/>
      </patternFill>
    </fill>
    <fill>
      <patternFill patternType="solid">
        <fgColor rgb="FF0B82C0"/>
        <bgColor indexed="64"/>
      </patternFill>
    </fill>
    <fill>
      <patternFill patternType="solid">
        <fgColor rgb="FF20ADD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CE6F1"/>
        <bgColor rgb="FFDCE6F1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rgb="FFFF3B30"/>
      </top>
      <bottom/>
      <diagonal/>
    </border>
    <border>
      <left/>
      <right/>
      <top style="thin">
        <color rgb="FF95B3D7"/>
      </top>
      <bottom style="thin">
        <color rgb="FF95B3D7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double">
        <color theme="4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6">
    <xf numFmtId="0" fontId="0" fillId="0" borderId="0"/>
    <xf numFmtId="0" fontId="5" fillId="3" borderId="0" applyNumberFormat="0" applyBorder="0" applyAlignment="0" applyProtection="0"/>
    <xf numFmtId="44" fontId="1" fillId="0" borderId="0" applyBorder="0" applyAlignment="0" applyProtection="0"/>
    <xf numFmtId="9" fontId="1" fillId="0" borderId="0" applyBorder="0" applyAlignment="0" applyProtection="0"/>
    <xf numFmtId="0" fontId="4" fillId="4" borderId="1" applyNumberFormat="0" applyFont="0" applyAlignment="0" applyProtection="0"/>
    <xf numFmtId="0" fontId="6" fillId="5" borderId="0" applyNumberFormat="0" applyBorder="0" applyAlignment="0" applyProtection="0"/>
  </cellStyleXfs>
  <cellXfs count="122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/>
    <xf numFmtId="44" fontId="1" fillId="0" borderId="0" xfId="2"/>
    <xf numFmtId="2" fontId="3" fillId="0" borderId="0" xfId="0" applyNumberFormat="1" applyFont="1"/>
    <xf numFmtId="165" fontId="3" fillId="0" borderId="0" xfId="0" applyNumberFormat="1" applyFont="1"/>
    <xf numFmtId="166" fontId="3" fillId="0" borderId="0" xfId="0" applyNumberFormat="1" applyFont="1"/>
    <xf numFmtId="0" fontId="8" fillId="0" borderId="0" xfId="0" applyFont="1"/>
    <xf numFmtId="0" fontId="7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8" fillId="7" borderId="3" xfId="0" applyFont="1" applyFill="1" applyBorder="1"/>
    <xf numFmtId="0" fontId="8" fillId="6" borderId="3" xfId="0" applyFont="1" applyFill="1" applyBorder="1"/>
    <xf numFmtId="9" fontId="1" fillId="0" borderId="0" xfId="3"/>
    <xf numFmtId="0" fontId="0" fillId="0" borderId="6" xfId="0" applyBorder="1"/>
    <xf numFmtId="164" fontId="0" fillId="0" borderId="0" xfId="0" applyNumberFormat="1"/>
    <xf numFmtId="2" fontId="0" fillId="0" borderId="0" xfId="0" applyNumberFormat="1"/>
    <xf numFmtId="0" fontId="11" fillId="0" borderId="6" xfId="0" applyFont="1" applyBorder="1"/>
    <xf numFmtId="0" fontId="12" fillId="0" borderId="0" xfId="0" applyFont="1"/>
    <xf numFmtId="44" fontId="8" fillId="0" borderId="0" xfId="2" applyFont="1"/>
    <xf numFmtId="44" fontId="0" fillId="0" borderId="0" xfId="0" applyNumberFormat="1"/>
    <xf numFmtId="2" fontId="8" fillId="0" borderId="0" xfId="0" applyNumberFormat="1" applyFont="1"/>
    <xf numFmtId="44" fontId="8" fillId="0" borderId="0" xfId="2" applyFont="1" applyAlignment="1">
      <alignment horizontal="right"/>
    </xf>
    <xf numFmtId="0" fontId="0" fillId="0" borderId="0" xfId="0" applyAlignment="1">
      <alignment vertical="center"/>
    </xf>
    <xf numFmtId="0" fontId="13" fillId="0" borderId="0" xfId="0" applyFont="1"/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44" fontId="13" fillId="0" borderId="0" xfId="0" applyNumberFormat="1" applyFont="1" applyAlignment="1">
      <alignment vertical="center"/>
    </xf>
    <xf numFmtId="167" fontId="3" fillId="0" borderId="0" xfId="0" applyNumberFormat="1" applyFont="1"/>
    <xf numFmtId="4" fontId="13" fillId="0" borderId="0" xfId="0" applyNumberFormat="1" applyFont="1" applyAlignment="1">
      <alignment vertical="center"/>
    </xf>
    <xf numFmtId="3" fontId="13" fillId="0" borderId="0" xfId="0" applyNumberFormat="1" applyFont="1" applyAlignment="1">
      <alignment vertical="center"/>
    </xf>
    <xf numFmtId="0" fontId="0" fillId="13" borderId="0" xfId="0" applyFill="1" applyAlignment="1">
      <alignment wrapText="1"/>
    </xf>
    <xf numFmtId="1" fontId="0" fillId="0" borderId="0" xfId="0" applyNumberFormat="1"/>
    <xf numFmtId="0" fontId="13" fillId="4" borderId="1" xfId="4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4" borderId="1" xfId="4" applyFont="1" applyAlignment="1">
      <alignment vertical="center"/>
    </xf>
    <xf numFmtId="0" fontId="17" fillId="4" borderId="1" xfId="4" applyFont="1" applyAlignment="1">
      <alignment vertical="center"/>
    </xf>
    <xf numFmtId="44" fontId="17" fillId="4" borderId="1" xfId="4" applyNumberFormat="1" applyFont="1" applyAlignment="1">
      <alignment vertical="center"/>
    </xf>
    <xf numFmtId="0" fontId="17" fillId="4" borderId="1" xfId="4" applyFont="1" applyAlignment="1">
      <alignment horizontal="center" vertical="center"/>
    </xf>
    <xf numFmtId="0" fontId="18" fillId="4" borderId="1" xfId="4" applyFont="1" applyAlignment="1">
      <alignment vertical="center"/>
    </xf>
    <xf numFmtId="4" fontId="17" fillId="4" borderId="1" xfId="4" applyNumberFormat="1" applyFont="1" applyAlignment="1">
      <alignment vertical="center"/>
    </xf>
    <xf numFmtId="166" fontId="17" fillId="4" borderId="1" xfId="4" applyNumberFormat="1" applyFont="1" applyAlignment="1">
      <alignment vertical="center"/>
    </xf>
    <xf numFmtId="2" fontId="17" fillId="4" borderId="1" xfId="4" applyNumberFormat="1" applyFont="1" applyAlignment="1">
      <alignment vertical="center"/>
    </xf>
    <xf numFmtId="0" fontId="19" fillId="0" borderId="0" xfId="0" applyFont="1" applyAlignment="1">
      <alignment vertical="center"/>
    </xf>
    <xf numFmtId="0" fontId="17" fillId="10" borderId="0" xfId="0" applyFont="1" applyFill="1" applyAlignment="1">
      <alignment horizontal="center" vertical="center"/>
    </xf>
    <xf numFmtId="0" fontId="17" fillId="4" borderId="1" xfId="4" applyFont="1" applyAlignment="1">
      <alignment horizontal="right" vertical="center"/>
    </xf>
    <xf numFmtId="0" fontId="23" fillId="0" borderId="0" xfId="0" applyFont="1"/>
    <xf numFmtId="0" fontId="24" fillId="14" borderId="0" xfId="0" applyFont="1" applyFill="1"/>
    <xf numFmtId="0" fontId="0" fillId="14" borderId="0" xfId="0" applyFill="1"/>
    <xf numFmtId="0" fontId="25" fillId="8" borderId="0" xfId="0" applyFont="1" applyFill="1"/>
    <xf numFmtId="0" fontId="0" fillId="8" borderId="0" xfId="0" applyFill="1"/>
    <xf numFmtId="0" fontId="0" fillId="0" borderId="7" xfId="0" applyBorder="1"/>
    <xf numFmtId="0" fontId="26" fillId="0" borderId="0" xfId="0" applyFont="1"/>
    <xf numFmtId="0" fontId="27" fillId="15" borderId="8" xfId="0" applyFont="1" applyFill="1" applyBorder="1"/>
    <xf numFmtId="0" fontId="7" fillId="2" borderId="2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28" fillId="0" borderId="0" xfId="0" applyFont="1" applyAlignment="1">
      <alignment vertical="center" wrapText="1"/>
    </xf>
    <xf numFmtId="44" fontId="29" fillId="0" borderId="0" xfId="2" applyFont="1" applyAlignment="1">
      <alignment vertical="center" wrapText="1"/>
    </xf>
    <xf numFmtId="0" fontId="29" fillId="0" borderId="0" xfId="0" applyFont="1" applyAlignment="1">
      <alignment vertical="center" wrapText="1"/>
    </xf>
    <xf numFmtId="0" fontId="11" fillId="0" borderId="0" xfId="0" applyFont="1" applyAlignment="1">
      <alignment wrapText="1"/>
    </xf>
    <xf numFmtId="0" fontId="5" fillId="3" borderId="0" xfId="1" applyAlignment="1">
      <alignment vertical="center"/>
    </xf>
    <xf numFmtId="44" fontId="0" fillId="7" borderId="4" xfId="0" applyNumberFormat="1" applyFill="1" applyBorder="1"/>
    <xf numFmtId="44" fontId="0" fillId="6" borderId="4" xfId="0" applyNumberFormat="1" applyFill="1" applyBorder="1"/>
    <xf numFmtId="0" fontId="0" fillId="6" borderId="10" xfId="0" applyFill="1" applyBorder="1"/>
    <xf numFmtId="0" fontId="7" fillId="2" borderId="11" xfId="0" applyFont="1" applyFill="1" applyBorder="1" applyAlignment="1">
      <alignment horizontal="center"/>
    </xf>
    <xf numFmtId="0" fontId="0" fillId="7" borderId="12" xfId="0" applyFill="1" applyBorder="1"/>
    <xf numFmtId="0" fontId="12" fillId="7" borderId="13" xfId="0" applyFont="1" applyFill="1" applyBorder="1"/>
    <xf numFmtId="0" fontId="0" fillId="7" borderId="13" xfId="0" applyFill="1" applyBorder="1"/>
    <xf numFmtId="0" fontId="8" fillId="7" borderId="13" xfId="0" applyFont="1" applyFill="1" applyBorder="1"/>
    <xf numFmtId="44" fontId="0" fillId="7" borderId="13" xfId="0" applyNumberFormat="1" applyFill="1" applyBorder="1"/>
    <xf numFmtId="44" fontId="8" fillId="7" borderId="13" xfId="2" applyFont="1" applyFill="1" applyBorder="1"/>
    <xf numFmtId="44" fontId="8" fillId="7" borderId="13" xfId="0" applyNumberFormat="1" applyFont="1" applyFill="1" applyBorder="1"/>
    <xf numFmtId="0" fontId="0" fillId="6" borderId="14" xfId="0" applyFill="1" applyBorder="1"/>
    <xf numFmtId="0" fontId="12" fillId="6" borderId="10" xfId="0" applyFont="1" applyFill="1" applyBorder="1"/>
    <xf numFmtId="0" fontId="8" fillId="6" borderId="10" xfId="0" applyFont="1" applyFill="1" applyBorder="1"/>
    <xf numFmtId="44" fontId="0" fillId="6" borderId="10" xfId="0" applyNumberFormat="1" applyFill="1" applyBorder="1"/>
    <xf numFmtId="44" fontId="8" fillId="6" borderId="10" xfId="2" applyFont="1" applyFill="1" applyBorder="1"/>
    <xf numFmtId="44" fontId="8" fillId="6" borderId="10" xfId="0" applyNumberFormat="1" applyFont="1" applyFill="1" applyBorder="1"/>
    <xf numFmtId="0" fontId="0" fillId="7" borderId="14" xfId="0" applyFill="1" applyBorder="1"/>
    <xf numFmtId="0" fontId="12" fillId="7" borderId="10" xfId="0" applyFont="1" applyFill="1" applyBorder="1"/>
    <xf numFmtId="0" fontId="0" fillId="7" borderId="10" xfId="0" applyFill="1" applyBorder="1"/>
    <xf numFmtId="0" fontId="8" fillId="7" borderId="10" xfId="0" applyFont="1" applyFill="1" applyBorder="1"/>
    <xf numFmtId="0" fontId="0" fillId="7" borderId="10" xfId="0" applyFill="1" applyBorder="1" applyAlignment="1">
      <alignment vertical="center"/>
    </xf>
    <xf numFmtId="44" fontId="0" fillId="7" borderId="10" xfId="0" applyNumberFormat="1" applyFill="1" applyBorder="1"/>
    <xf numFmtId="44" fontId="8" fillId="7" borderId="10" xfId="2" applyFont="1" applyFill="1" applyBorder="1"/>
    <xf numFmtId="44" fontId="8" fillId="7" borderId="10" xfId="0" applyNumberFormat="1" applyFont="1" applyFill="1" applyBorder="1"/>
    <xf numFmtId="0" fontId="0" fillId="6" borderId="10" xfId="0" applyFill="1" applyBorder="1" applyAlignment="1">
      <alignment vertical="center"/>
    </xf>
    <xf numFmtId="0" fontId="11" fillId="7" borderId="0" xfId="0" applyFont="1" applyFill="1" applyAlignment="1">
      <alignment vertical="center"/>
    </xf>
    <xf numFmtId="0" fontId="8" fillId="7" borderId="11" xfId="0" applyFont="1" applyFill="1" applyBorder="1"/>
    <xf numFmtId="0" fontId="0" fillId="7" borderId="11" xfId="0" applyFill="1" applyBorder="1"/>
    <xf numFmtId="0" fontId="28" fillId="7" borderId="11" xfId="0" applyFont="1" applyFill="1" applyBorder="1" applyAlignment="1">
      <alignment vertical="center" wrapText="1"/>
    </xf>
    <xf numFmtId="0" fontId="29" fillId="7" borderId="11" xfId="0" applyFont="1" applyFill="1" applyBorder="1" applyAlignment="1">
      <alignment vertical="center" wrapText="1"/>
    </xf>
    <xf numFmtId="44" fontId="29" fillId="7" borderId="11" xfId="2" applyFont="1" applyFill="1" applyBorder="1" applyAlignment="1">
      <alignment vertical="center" wrapText="1"/>
    </xf>
    <xf numFmtId="44" fontId="0" fillId="7" borderId="11" xfId="0" applyNumberFormat="1" applyFill="1" applyBorder="1"/>
    <xf numFmtId="44" fontId="29" fillId="7" borderId="11" xfId="0" applyNumberFormat="1" applyFont="1" applyFill="1" applyBorder="1" applyAlignment="1">
      <alignment vertical="center" wrapText="1"/>
    </xf>
    <xf numFmtId="44" fontId="28" fillId="7" borderId="11" xfId="0" applyNumberFormat="1" applyFont="1" applyFill="1" applyBorder="1" applyAlignment="1">
      <alignment vertical="center" wrapText="1"/>
    </xf>
    <xf numFmtId="0" fontId="30" fillId="12" borderId="0" xfId="0" applyFont="1" applyFill="1" applyAlignment="1">
      <alignment horizontal="center" vertical="center"/>
    </xf>
    <xf numFmtId="0" fontId="20" fillId="9" borderId="0" xfId="5" applyFont="1" applyFill="1" applyAlignment="1">
      <alignment horizontal="left" vertical="center"/>
    </xf>
    <xf numFmtId="0" fontId="16" fillId="9" borderId="0" xfId="0" applyFont="1" applyFill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21" fillId="11" borderId="0" xfId="0" applyFont="1" applyFill="1" applyAlignment="1">
      <alignment horizontal="left" vertical="center"/>
    </xf>
    <xf numFmtId="0" fontId="14" fillId="11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30" fillId="9" borderId="0" xfId="0" applyFont="1" applyFill="1" applyAlignment="1">
      <alignment horizontal="left"/>
    </xf>
    <xf numFmtId="0" fontId="2" fillId="2" borderId="5" xfId="0" applyFont="1" applyFill="1" applyBorder="1" applyAlignment="1">
      <alignment horizontal="center"/>
    </xf>
    <xf numFmtId="0" fontId="11" fillId="0" borderId="0" xfId="0" applyFont="1"/>
    <xf numFmtId="0" fontId="31" fillId="16" borderId="18" xfId="0" applyFont="1" applyFill="1" applyBorder="1"/>
    <xf numFmtId="0" fontId="30" fillId="16" borderId="19" xfId="0" applyFont="1" applyFill="1" applyBorder="1"/>
    <xf numFmtId="0" fontId="30" fillId="16" borderId="20" xfId="0" applyFont="1" applyFill="1" applyBorder="1"/>
    <xf numFmtId="0" fontId="11" fillId="17" borderId="18" xfId="0" applyFont="1" applyFill="1" applyBorder="1" applyAlignment="1">
      <alignment vertical="center"/>
    </xf>
    <xf numFmtId="44" fontId="1" fillId="17" borderId="19" xfId="2" applyNumberFormat="1" applyFont="1" applyFill="1" applyBorder="1" applyAlignment="1">
      <alignment horizontal="center" vertical="center"/>
    </xf>
    <xf numFmtId="44" fontId="1" fillId="17" borderId="20" xfId="2" applyNumberFormat="1" applyFont="1" applyFill="1" applyBorder="1" applyAlignment="1">
      <alignment horizontal="center" vertical="center"/>
    </xf>
    <xf numFmtId="0" fontId="11" fillId="0" borderId="18" xfId="0" applyFont="1" applyBorder="1" applyAlignment="1">
      <alignment vertical="center" wrapText="1"/>
    </xf>
    <xf numFmtId="44" fontId="1" fillId="0" borderId="19" xfId="2" applyNumberFormat="1" applyFont="1" applyBorder="1" applyAlignment="1">
      <alignment horizontal="center" vertical="center"/>
    </xf>
    <xf numFmtId="44" fontId="1" fillId="0" borderId="20" xfId="2" applyNumberFormat="1" applyFont="1" applyBorder="1" applyAlignment="1">
      <alignment horizontal="center" vertical="center"/>
    </xf>
    <xf numFmtId="0" fontId="11" fillId="17" borderId="18" xfId="0" applyFont="1" applyFill="1" applyBorder="1" applyAlignment="1">
      <alignment vertical="center" wrapText="1"/>
    </xf>
    <xf numFmtId="0" fontId="32" fillId="18" borderId="15" xfId="0" applyFont="1" applyFill="1" applyBorder="1"/>
    <xf numFmtId="44" fontId="2" fillId="18" borderId="16" xfId="2" applyNumberFormat="1" applyFont="1" applyFill="1" applyBorder="1" applyAlignment="1">
      <alignment horizontal="center" vertical="center"/>
    </xf>
    <xf numFmtId="44" fontId="2" fillId="18" borderId="17" xfId="2" applyNumberFormat="1" applyFont="1" applyFill="1" applyBorder="1" applyAlignment="1">
      <alignment horizontal="center" vertical="center"/>
    </xf>
    <xf numFmtId="44" fontId="13" fillId="0" borderId="0" xfId="0" applyNumberFormat="1" applyFont="1" applyAlignment="1">
      <alignment horizontal="center" vertical="center"/>
    </xf>
    <xf numFmtId="44" fontId="17" fillId="4" borderId="1" xfId="4" applyNumberFormat="1" applyFont="1" applyAlignment="1">
      <alignment horizontal="center" vertical="center"/>
    </xf>
  </cellXfs>
  <cellStyles count="6">
    <cellStyle name="Akzent1" xfId="5" builtinId="29"/>
    <cellStyle name="Notiz" xfId="4" builtinId="10"/>
    <cellStyle name="Prozent" xfId="3" builtinId="5"/>
    <cellStyle name="Schlecht" xfId="1" builtinId="27"/>
    <cellStyle name="Standard" xfId="0" builtinId="0"/>
    <cellStyle name="Währung" xfId="2" builtinId="4"/>
  </cellStyles>
  <dxfs count="184"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CCCCFF"/>
          <bgColor rgb="FFBFBFBF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CCCCFF"/>
          <bgColor rgb="FFBFBFBF"/>
        </patternFill>
      </fill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00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CCCCFF"/>
          <bgColor rgb="FFBFBFBF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CCCCFF"/>
          <bgColor rgb="FFBFBFBF"/>
        </patternFill>
      </fill>
      <alignment horizontal="center" vertical="bottom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CCCCFF"/>
          <bgColor rgb="FFBFBFB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CCCCFF"/>
          <bgColor rgb="FFBFBFBF"/>
        </patternFill>
      </fill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64" formatCode="0.00000"/>
    </dxf>
    <dxf>
      <numFmt numFmtId="2" formatCode="0.00"/>
    </dxf>
    <dxf>
      <numFmt numFmtId="0" formatCode="General"/>
    </dxf>
    <dxf>
      <numFmt numFmtId="13" formatCode="0%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0" formatCode="General"/>
    </dxf>
    <dxf>
      <alignment horizontal="general" vertical="center" textRotation="0" wrapText="0" indent="0" justifyLastLine="0" shrinkToFit="0" readingOrder="0"/>
    </dxf>
    <dxf>
      <numFmt numFmtId="1" formatCode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CCCCFF"/>
          <bgColor rgb="FFBFBFB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CCCCFF"/>
          <bgColor rgb="FFBFBFB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6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CCCCFF"/>
          <bgColor rgb="FFBFBFB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CCCCFF"/>
          <bgColor rgb="FFBFBFB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4" formatCode="_-* #,##0.00\ &quot;€&quot;_-;\-* #,##0.00\ &quot;€&quot;_-;_-* &quot;-&quot;??\ &quot;€&quot;_-;_-@_-"/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4" formatCode="_-* #,##0.00\ &quot;€&quot;_-;\-* #,##0.00\ &quot;€&quot;_-;_-* &quot;-&quot;??\ &quot;€&quot;_-;_-@_-"/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4" formatCode="_-* #,##0.00\ &quot;€&quot;_-;\-* #,##0.00\ &quot;€&quot;_-;_-* &quot;-&quot;??\ &quot;€&quot;_-;_-@_-"/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34" formatCode="_-* #,##0.00\ &quot;€&quot;_-;\-* #,##0.00\ &quot;€&quot;_-;_-* &quot;-&quot;??\ &quot;€&quot;_-;_-@_-"/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  <dxf>
      <border outline="0"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CCCCFF"/>
          <bgColor rgb="FFBFBFBF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34" formatCode="_-* #,##0.00\ &quot;€&quot;_-;\-* #,##0.00\ &quot;€&quot;_-;_-* &quot;-&quot;??\ &quot;€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34" formatCode="_-* #,##0.00\ &quot;€&quot;_-;\-* #,##0.00\ &quot;€&quot;_-;_-* &quot;-&quot;??\ &quot;€&quot;_-;_-@_-"/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theme="8" tint="0.59999389629810485"/>
          <bgColor theme="8" tint="0.59999389629810485"/>
        </patternFill>
      </fill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theme="8" tint="0.59999389629810485"/>
          <bgColor theme="8" tint="0.59999389629810485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left style="thin">
          <color theme="0"/>
        </left>
      </border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CCCCFF"/>
          <bgColor rgb="FFBFBFBF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B82C0"/>
      <color rgb="FF20ADD6"/>
      <color rgb="FF0B8F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8173FE-1A70-8446-BDC5-2CD980B7FB07}" name="Tabelle1" displayName="Tabelle1" ref="A1:B19" totalsRowShown="0" dataDxfId="163">
  <autoFilter ref="A1:B19" xr:uid="{B98173FE-1A70-8446-BDC5-2CD980B7FB07}"/>
  <tableColumns count="2">
    <tableColumn id="1" xr3:uid="{50FB47BD-0256-9342-81EF-D228B5E2E67C}" name="Field" dataDxfId="162"/>
    <tableColumn id="2" xr3:uid="{1AD23858-2542-5F4F-AE79-3B08450D853F}" name="Details" dataDxfId="161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42F7741-1D0A-E449-ACE4-8447FEB3A5C3}" name="Tabelle3" displayName="Tabelle3" ref="A1:J48" totalsRowShown="0" headerRowDxfId="160" dataDxfId="159">
  <autoFilter ref="A1:J48" xr:uid="{942F7741-1D0A-E449-ACE4-8447FEB3A5C3}"/>
  <tableColumns count="10">
    <tableColumn id="1" xr3:uid="{A1448F2C-CAA5-EF48-AA0D-8443BE859320}" name="Customer_ID" dataDxfId="158"/>
    <tableColumn id="2" xr3:uid="{B52E96E0-4AD8-2B43-BCE8-2A1D6BB31B13}" name="Shop_Name" dataDxfId="157"/>
    <tableColumn id="3" xr3:uid="{6958F0CD-E07E-0044-847F-0F2C94661D0F}" name="City" dataDxfId="156"/>
    <tableColumn id="4" xr3:uid="{FD9493A8-5730-8843-BF45-786EF6341A88}" name="Address" dataDxfId="155"/>
    <tableColumn id="5" xr3:uid="{46CD3380-7215-ED44-9ED5-27A72705E29E}" name="Lat" dataDxfId="154"/>
    <tableColumn id="6" xr3:uid="{0723EFDD-AA04-A14E-89A6-BFC89B37ECA2}" name="Long" dataDxfId="153"/>
    <tableColumn id="7" xr3:uid="{6A81F11E-A642-9849-A88D-97012C3F5B1E}" name="Delivery_Zone" dataDxfId="152"/>
    <tableColumn id="8" xr3:uid="{2056F6B8-54E9-0144-B5CC-489129E9D21B}" name="Avg_Monthly_Orders" dataDxfId="151"/>
    <tableColumn id="9" xr3:uid="{2EAB7781-846C-324E-8986-AA564BCBC921}" name="Payment_Terms_days" dataDxfId="150"/>
    <tableColumn id="10" xr3:uid="{6B907E99-1C3C-484F-89BC-F21CE5C28C4A}" name="Customer_Since" dataDxfId="149"/>
  </tableColumns>
  <tableStyleInfo name="TableStyleMedium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56F157-BD2A-0145-AF4F-A33F2922A622}" name="Tabelle2" displayName="Tabelle2" ref="A1:J39" totalsRowShown="0" headerRowDxfId="148" dataDxfId="147">
  <autoFilter ref="A1:J39" xr:uid="{4C56F157-BD2A-0145-AF4F-A33F2922A622}"/>
  <sortState xmlns:xlrd2="http://schemas.microsoft.com/office/spreadsheetml/2017/richdata2" ref="A2:J39">
    <sortCondition ref="A1:A39"/>
  </sortState>
  <tableColumns count="10">
    <tableColumn id="1" xr3:uid="{214BA38D-7FF6-264F-878B-4055AF35AEBF}" name="SKU_ID" dataDxfId="146"/>
    <tableColumn id="2" xr3:uid="{BF167407-297D-FD4E-972E-EFD4D1679F60}" name="Product_Name" dataDxfId="145"/>
    <tableColumn id="3" xr3:uid="{242F0252-FBF2-574B-B968-CA671F484DD7}" name="Category" dataDxfId="144"/>
    <tableColumn id="4" xr3:uid="{91B8FC2A-7E28-F643-B9B0-57FA9ED2E2D0}" name="Unit_Purchase_Cost_€" dataCellStyle="Währung"/>
    <tableColumn id="5" xr3:uid="{C65D2B58-DCA1-A747-9622-15B5B24357BD}" name="Unit_Selling_Price_€" dataCellStyle="Währung"/>
    <tableColumn id="6" xr3:uid="{0F3D7BE5-CE19-B041-A084-E607A322B343}" name="Weight_kg" dataDxfId="143"/>
    <tableColumn id="7" xr3:uid="{72F9EA54-4464-5544-9E4B-724E548E96C4}" name="Volume_L" dataDxfId="142"/>
    <tableColumn id="8" xr3:uid="{CE51EFB5-E8A3-FF4D-AAD7-36397C99F4CF}" name="Lead_Time_days" dataDxfId="141"/>
    <tableColumn id="9" xr3:uid="{A5BF7F47-B552-FF4D-AEBF-7106F19600A4}" name="Min_Order_Qty" dataDxfId="140"/>
    <tableColumn id="10" xr3:uid="{B8B1862F-80AD-1745-9C41-EF7DF8DD4339}" name="Supplier" dataDxfId="139"/>
  </tableColumns>
  <tableStyleInfo name="TableStyleMedium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F1E7425-BAEC-0F48-8961-E23F71CD64B9}" name="Tabelle6" displayName="Tabelle6" ref="A1:M40" totalsRowCount="1" headerRowDxfId="138" dataDxfId="137">
  <autoFilter ref="A1:M39" xr:uid="{1F1E7425-BAEC-0F48-8961-E23F71CD64B9}"/>
  <tableColumns count="13">
    <tableColumn id="1" xr3:uid="{D7D2F31C-BAFF-794B-843B-1E3BDEF6E493}" name="SKU_ID" dataDxfId="136" totalsRowDxfId="135"/>
    <tableColumn id="2" xr3:uid="{970C3875-1C12-E844-B7F5-8A3C31CEF447}" name="Product_Name" dataDxfId="134" totalsRowDxfId="133"/>
    <tableColumn id="3" xr3:uid="{404D8B13-65B4-4B4E-8FB8-7AEB80175DF1}" name="Current_Stock_Units" dataDxfId="132" totalsRowDxfId="131"/>
    <tableColumn id="4" xr3:uid="{93C354EC-71BC-0D48-B16B-15E8DF59371B}" name="Reorder_Point_units" dataDxfId="130" totalsRowDxfId="129"/>
    <tableColumn id="5" xr3:uid="{97FEEAB5-B82A-0D4F-9F9A-780586D09E18}" name="Reorder_Qty_units" totalsRowFunction="sum" dataDxfId="128" totalsRowDxfId="127"/>
    <tableColumn id="6" xr3:uid="{C6779E2D-F17E-4643-8B55-C6EF61A93D74}" name="Safety_Stock_units" dataDxfId="126" totalsRowDxfId="125"/>
    <tableColumn id="7" xr3:uid="{C06622DC-A2FA-B049-890A-62EA1C0075E9}" name="Avg_Monthly_Demand" dataDxfId="124" totalsRowDxfId="123">
      <calculatedColumnFormula>_xlfn.XLOOKUP(Tabelle6[[#This Row],[SKU_ID]],Tabelle8[SKU_ID],Tabelle8[Avg_Monthly],"-",0)</calculatedColumnFormula>
    </tableColumn>
    <tableColumn id="8" xr3:uid="{788430C5-6E6E-6C45-8682-76C59760629E}" name="Purchase_Cost_per_unit_€" totalsRowLabel=" Total Tied Capital -&gt; " totalsRowDxfId="122" dataCellStyle="Währung" totalsRowCellStyle="Währung"/>
    <tableColumn id="9" xr3:uid="{D9C57E85-FA13-7E4B-8714-63683E5241C6}" name="Current_Stock_Value_€" totalsRowFunction="custom" dataCellStyle="Währung" totalsRowCellStyle="Währung">
      <totalsRowFormula>SUM(Tabelle6[Current_Stock_Value_€])</totalsRowFormula>
    </tableColumn>
    <tableColumn id="10" xr3:uid="{D118AFFB-ED2C-FE42-AD58-657F13729C04}" name="Stockout_events_2024" dataDxfId="121" totalsRowDxfId="120"/>
    <tableColumn id="11" xr3:uid="{A30C7633-61C7-0045-ABFA-30EBA322CFD0}" name="Emergency_orders_2024" dataDxfId="119" totalsRowDxfId="118"/>
    <tableColumn id="12" xr3:uid="{250100E7-5E07-074A-916C-D1D61BCD7FA1}" name="Emergency_order_cost_€_total" dataCellStyle="Währung" totalsRowCellStyle="Währung"/>
    <tableColumn id="13" xr3:uid="{3077DD7D-84F6-3446-940C-872F417C8B18}" name="Notes" dataDxfId="117" totalsRowDxfId="116"/>
  </tableColumns>
  <tableStyleInfo name="TableStyleMedium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F7197CB-4BFE-F34A-A1E3-460995BA4736}" name="Table_Order_History" displayName="Table_Order_History" ref="A1:R40" totalsRowCount="1" headerRowDxfId="115" dataDxfId="114">
  <autoFilter ref="A1:R39" xr:uid="{8F7197CB-4BFE-F34A-A1E3-460995BA4736}"/>
  <sortState xmlns:xlrd2="http://schemas.microsoft.com/office/spreadsheetml/2017/richdata2" ref="A2:R39">
    <sortCondition ref="A1:A39"/>
  </sortState>
  <tableColumns count="18">
    <tableColumn id="1" xr3:uid="{8E004422-ED38-F149-9082-BC2AD8F0ADA5}" name="SKU_ID" dataDxfId="113" totalsRowDxfId="112"/>
    <tableColumn id="2" xr3:uid="{5E1474CC-9562-D84D-BF52-ECD70A8A0CF2}" name="Product_Name" dataDxfId="111" totalsRowDxfId="110"/>
    <tableColumn id="3" xr3:uid="{F4AD3CBF-64D2-9944-972C-68E7FA56F562}" name="Jan-24" dataDxfId="109" totalsRowDxfId="108"/>
    <tableColumn id="4" xr3:uid="{B73EE6D2-DFBC-684C-A501-27F9E6FE1781}" name="Feb-24" dataDxfId="107" totalsRowDxfId="106"/>
    <tableColumn id="5" xr3:uid="{9CBDA44E-61E9-A14C-B6AB-F6DB186A1282}" name="Mar-24" dataDxfId="105" totalsRowDxfId="104"/>
    <tableColumn id="6" xr3:uid="{E84903BE-6E75-6E41-BD37-89216DBEC9F3}" name="Apr-24" dataDxfId="103" totalsRowDxfId="102"/>
    <tableColumn id="7" xr3:uid="{0073095F-864A-FB49-9BBE-AA43C62E6162}" name="May-24" dataDxfId="101" totalsRowDxfId="100"/>
    <tableColumn id="8" xr3:uid="{D66741F7-0DD2-3748-9C88-B1E1AF61D18B}" name="Jun-24" dataDxfId="99" totalsRowDxfId="98"/>
    <tableColumn id="9" xr3:uid="{0B98285F-F6A3-0B42-9429-75FB2EB8936C}" name="Jul-24" dataDxfId="97" totalsRowDxfId="96"/>
    <tableColumn id="10" xr3:uid="{BCDEDDCC-8994-C24E-9C20-10799A591422}" name="Aug-24" dataDxfId="95" totalsRowDxfId="94"/>
    <tableColumn id="11" xr3:uid="{97338B29-6B1C-AA4F-BA24-62C103F9E5E0}" name="Sep-24" dataDxfId="93" totalsRowDxfId="92"/>
    <tableColumn id="12" xr3:uid="{DC05AEB7-4AAB-5049-9352-D89815AA6746}" name="Oct-24" dataDxfId="91" totalsRowDxfId="90"/>
    <tableColumn id="13" xr3:uid="{096D4EFC-9376-2644-B1A3-68E4229876D9}" name="Nov-24" dataDxfId="89" totalsRowDxfId="88"/>
    <tableColumn id="14" xr3:uid="{EB1E4C31-BC3C-2D4D-9571-4601A37F0170}" name="Dec-24" dataDxfId="87" totalsRowDxfId="86"/>
    <tableColumn id="15" xr3:uid="{48B0A624-7C8F-FB40-9446-D7903FA23F51}" name="Total_2024" totalsRowFunction="custom" totalsRowDxfId="85">
      <calculatedColumnFormula>SUM(C2:N2)</calculatedColumnFormula>
      <totalsRowFormula>SUM(Table_Order_History[Total_2024])</totalsRowFormula>
    </tableColumn>
    <tableColumn id="20" xr3:uid="{654186E9-42E7-334F-8E24-811590FDA44D}" name="Total_Orders_2024" totalsRowFunction="sum" dataDxfId="84" totalsRowDxfId="83">
      <calculatedColumnFormula>ROUNDUP(Table_Order_History[[#This Row],[Total_2024]]/_xlfn.XLOOKUP(Table_Order_History[[#This Row],[SKU_ID]],Tabelle6[SKU_ID],Tabelle6[Reorder_Qty_units],"-",0),0)</calculatedColumnFormula>
    </tableColumn>
    <tableColumn id="18" xr3:uid="{62EB16E0-2842-254D-B67F-B6B7E813B9E7}" name="Total_Annual_Revenue" dataCellStyle="Währung" totalsRowCellStyle="Währung">
      <calculatedColumnFormula>Table_Order_History[[#This Row],[Total_2024]]*_xlfn.XLOOKUP(Table_Order_History[[#This Row],[SKU_ID]],Tabelle2[SKU_ID],Tabelle2[Unit_Selling_Price_€],0,0)</calculatedColumnFormula>
    </tableColumn>
    <tableColumn id="19" xr3:uid="{6C9AC5F5-6C81-3C47-9D31-5BFB8EFF8B01}" name="Rank" dataDxfId="82" totalsRowDxfId="81">
      <calculatedColumnFormula>RANK(Table_Order_History[[#This Row],[Total_Annual_Revenue]],Table_Order_History[Total_Annual_Revenue],0)</calculatedColumnFormula>
    </tableColumn>
  </tableColumns>
  <tableStyleInfo name="TableStyleMedium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0A71EE2-885B-A94A-85EF-D9F2822A51F9}" name="Tabelle8" displayName="Tabelle8" ref="A1:N39" totalsRowShown="0" headerRowDxfId="39">
  <autoFilter ref="A1:N39" xr:uid="{30A71EE2-885B-A94A-85EF-D9F2822A51F9}"/>
  <sortState xmlns:xlrd2="http://schemas.microsoft.com/office/spreadsheetml/2017/richdata2" ref="A2:N39">
    <sortCondition ref="A1:A39"/>
  </sortState>
  <tableColumns count="14">
    <tableColumn id="1" xr3:uid="{C8363FAE-EBC8-4B42-B2CE-32F8AB1F94D0}" name="SKU_ID" dataDxfId="80"/>
    <tableColumn id="2" xr3:uid="{C40305AF-760F-B94F-A9D5-D4E66B4D6F24}" name="Product_Name" dataDxfId="79"/>
    <tableColumn id="3" xr3:uid="{9C334744-967E-514E-AE92-2EF47E489022}" name="Category" dataDxfId="78">
      <calculatedColumnFormula>_xlfn.XLOOKUP(Tabelle8[[#This Row],[Product_Name]],Tabelle2[Product_Name],Tabelle2[Category],"-",0)</calculatedColumnFormula>
    </tableColumn>
    <tableColumn id="4" xr3:uid="{B7D6A281-EFFA-C44B-A90E-AFBF0FE8466C}" name="Total_2024" dataDxfId="19">
      <calculatedColumnFormula>_xlfn.XLOOKUP(Tabelle8[[#This Row],[SKU_ID]],Table_Order_History[SKU_ID],Table_Order_History[Total_2024],"-",0)</calculatedColumnFormula>
    </tableColumn>
    <tableColumn id="5" xr3:uid="{430FEEC4-1D43-F041-A3D1-5C94F9A55E9B}" name="Unit_Selling_Price (€)" dataDxfId="18">
      <calculatedColumnFormula>_xlfn.XLOOKUP(Tabelle8[[#This Row],[SKU_ID]],Tabelle2[SKU_ID],Tabelle2[Unit_Selling_Price_€],"-",0)</calculatedColumnFormula>
    </tableColumn>
    <tableColumn id="6" xr3:uid="{D2ED6F1C-4484-9542-A2DC-D9BDE607A7B3}" name="Annual_Revenue" dataCellStyle="Währung">
      <calculatedColumnFormula>_xlfn.XLOOKUP(Tabelle8[[#This Row],[SKU_ID]],Table_Order_History[SKU_ID],Table_Order_History[Total_Annual_Revenue],"-",0)</calculatedColumnFormula>
    </tableColumn>
    <tableColumn id="7" xr3:uid="{0A3208D5-8C82-3549-A9D4-04B69E0C38FA}" name="#" dataDxfId="77">
      <calculatedColumnFormula>RANK(F2,$F$2:$F$39,0)</calculatedColumnFormula>
    </tableColumn>
    <tableColumn id="8" xr3:uid="{188FC5A2-CF40-C34F-BF97-D37BE209A845}" name="Cumulative_Annual_Revenue_%" dataDxfId="76" dataCellStyle="Prozent">
      <calculatedColumnFormula array="1">SUMPRODUCT((Tabelle8[[#This Row],['#]]&gt;=Tabelle8['#])*Tabelle8[Annual_Revenue])/SUM(Tabelle8[Annual_Revenue])</calculatedColumnFormula>
    </tableColumn>
    <tableColumn id="9" xr3:uid="{C32F21F0-E47E-6943-9C27-6D8BB9179AAC}" name="ABC" dataDxfId="75">
      <calculatedColumnFormula>IF(H2&lt;=80%,"A",IF(H2&lt;=95%,"B","C"))</calculatedColumnFormula>
    </tableColumn>
    <tableColumn id="10" xr3:uid="{E6551461-D6C1-4B44-A9BB-642133533AA0}" name="Avg_Monthly" dataDxfId="74">
      <calculatedColumnFormula>AVERAGE(_xlfn.XLOOKUP(Tabelle8[[#This Row],[SKU_ID]],Table_Order_History[SKU_ID],Table_Order_History[[Jan-24]:[Dec-24]],"-",0))</calculatedColumnFormula>
    </tableColumn>
    <tableColumn id="11" xr3:uid="{4EBF5B7A-4B0E-F242-9D82-D1247805A97E}" name="StdDev_Monthly" dataDxfId="73">
      <calculatedColumnFormula>STDEV(_xlfn.XLOOKUP(Tabelle8[[#This Row],[SKU_ID]],Table_Order_History[SKU_ID],Table_Order_History[[Jan-24]:[Dec-24]],"-",0))</calculatedColumnFormula>
    </tableColumn>
    <tableColumn id="12" xr3:uid="{11007F2E-ACAB-434C-9CF1-1D34A4ECBA81}" name="CoV" dataCellStyle="Prozent">
      <calculatedColumnFormula>(Tabelle8[[#This Row],[StdDev_Monthly]]/Tabelle8[[#This Row],[Avg_Monthly]])</calculatedColumnFormula>
    </tableColumn>
    <tableColumn id="13" xr3:uid="{83ED3E2E-10E9-5747-AE82-C98A444603E3}" name="XYZ" dataDxfId="72">
      <calculatedColumnFormula>IF(Tabelle8[[#This Row],[CoV]]&lt;=25%,"X",IF(Tabelle8[[#This Row],[CoV]]&lt;=50%,"Y","Z"))</calculatedColumnFormula>
    </tableColumn>
    <tableColumn id="14" xr3:uid="{EC22C787-DDC0-D44F-807E-8966CA4C59D5}" name="ABC_XYZ" dataDxfId="71">
      <calculatedColumnFormula>Tabelle8[[#This Row],[ABC]]&amp;Tabelle8[[#This Row],[XYZ]]</calculatedColumnFormula>
    </tableColumn>
  </tableColumns>
  <tableStyleInfo name="TableStyleMedium1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13666BD-84C0-1645-9A0A-CA0582872364}" name="Tabelle5" displayName="Tabelle5" ref="A1:O10" totalsRowShown="0" headerRowDxfId="70" dataDxfId="69">
  <autoFilter ref="A1:O10" xr:uid="{213666BD-84C0-1645-9A0A-CA0582872364}"/>
  <sortState xmlns:xlrd2="http://schemas.microsoft.com/office/spreadsheetml/2017/richdata2" ref="A2:O10">
    <sortCondition ref="A1:A10"/>
  </sortState>
  <tableColumns count="15">
    <tableColumn id="1" xr3:uid="{37027BEF-FB40-EE4B-B9B5-5340DDA8FFC9}" name="Route_ID" dataDxfId="68"/>
    <tableColumn id="2" xr3:uid="{91691373-C818-2144-9A0B-16AB93DAD2EC}" name="Route_Name" dataDxfId="67"/>
    <tableColumn id="3" xr3:uid="{4542C5C8-2B3B-CD4B-87C7-2398BB36857A}" name="Delivery_Zone" dataDxfId="66"/>
    <tableColumn id="4" xr3:uid="{5FD248B8-B399-2146-8BEC-61B505096FFE}" name="Departure_Point" dataDxfId="65"/>
    <tableColumn id="5" xr3:uid="{9D8910A4-5B3F-604F-B4D2-E23B88E73503}" name="Stops_incl_return" dataDxfId="64"/>
    <tableColumn id="6" xr3:uid="{32A173DC-9954-1E4E-BEEF-18351FD3C7A2}" name="Estimated_Distance_km" dataDxfId="63"/>
    <tableColumn id="15" xr3:uid="{B2E4CDF4-C7B5-B24C-98BC-42B3E1553084}" name="Estimated_Distance_km2" dataDxfId="62">
      <calculatedColumnFormula>Tabelle5[[#This Row],[Estimated_Distance_km]]*2</calculatedColumnFormula>
    </tableColumn>
    <tableColumn id="7" xr3:uid="{8CA9F9F4-7324-6D4F-8765-801119AB5C75}" name="Estimated_Duration_hrs" dataDxfId="61"/>
    <tableColumn id="8" xr3:uid="{71FC85EE-D113-A842-B8D9-544D9F67CCB3}" name="Frequency_per_week" dataDxfId="60"/>
    <tableColumn id="9" xr3:uid="{C774019C-0F67-4C43-BDAE-282A6A1B8BF6}" name="Cost_per_run_€" dataCellStyle="Währung">
      <calculatedColumnFormula>Tabelle5[[#This Row],[Estimated_Distance_km]]*Tabelle5[[#This Row],[Cost_per_km_€]]</calculatedColumnFormula>
    </tableColumn>
    <tableColumn id="10" xr3:uid="{E715F743-675F-6940-B530-492C3DFA5284}" name="Cost_per_km_€" dataCellStyle="Währung"/>
    <tableColumn id="11" xr3:uid="{DF993A61-26C0-744B-BC86-C7E76EE64DF6}" name="Vehicle_Type" dataDxfId="59"/>
    <tableColumn id="12" xr3:uid="{1D90B281-1F88-4844-B342-AFD15BF5DC20}" name="Max_Capacity_kg" dataDxfId="58"/>
    <tableColumn id="13" xr3:uid="{54A1E202-EA99-F144-9EFD-9BFCF9647737}" name="Avg_Load_kg" dataDxfId="57"/>
    <tableColumn id="14" xr3:uid="{EAEAFABC-CD34-2D45-973D-DD70938A6B57}" name="Notes" dataDxfId="56"/>
  </tableColumns>
  <tableStyleInfo name="TableStyleMedium1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4DFF532-CFA4-BE4A-A247-15152D32D182}" name="Tabelle7" displayName="Tabelle7" ref="A1:G19" totalsRowShown="0" headerRowDxfId="55" dataDxfId="54">
  <autoFilter ref="A1:G19" xr:uid="{04DFF532-CFA4-BE4A-A247-15152D32D182}"/>
  <tableColumns count="7">
    <tableColumn id="1" xr3:uid="{CCBB9755-1FC1-1746-A922-EC3FB0FA9AEB}" name="Cost_Category" dataDxfId="53"/>
    <tableColumn id="2" xr3:uid="{B293A081-EF01-A74D-AE56-1143527B5D78}" name="Sub_Category" dataDxfId="52"/>
    <tableColumn id="3" xr3:uid="{1BD46FAC-B48E-124D-9C75-ED3B08312E8B}" name="Value_€" dataCellStyle="Währung"/>
    <tableColumn id="4" xr3:uid="{50F0A76F-C847-0A46-9A0E-AD3D2C2CE494}" name="Unit" dataDxfId="51"/>
    <tableColumn id="5" xr3:uid="{9E6440C1-415D-DC46-9021-832F47154C76}" name="Frequency" dataDxfId="50"/>
    <tableColumn id="6" xr3:uid="{9F498DFE-2235-4F45-94BA-641A56FBF6DF}" name="Annual_Est_€" dataCellStyle="Währung"/>
    <tableColumn id="7" xr3:uid="{A9B8B855-6CA2-1B4D-96DB-710922BF0873}" name="Notes" dataDxfId="49"/>
  </tableColumns>
  <tableStyleInfo name="TableStyleMedium1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C76792D-1134-C745-8584-2B0FE75FFD1F}" name="Table_Annual_Route_Cost_Comp" displayName="Table_Annual_Route_Cost_Comp" ref="A13:D19" totalsRowShown="0" headerRowDxfId="183" headerRowBorderDxfId="182" tableBorderDxfId="181">
  <autoFilter ref="A13:D19" xr:uid="{AC76792D-1134-C745-8584-2B0FE75FFD1F}"/>
  <sortState xmlns:xlrd2="http://schemas.microsoft.com/office/spreadsheetml/2017/richdata2" ref="A14:D19">
    <sortCondition ref="B13:B19"/>
  </sortState>
  <tableColumns count="4">
    <tableColumn id="1" xr3:uid="{40A46D28-89ED-3D45-A34C-93E007CCE9B4}" name="Sub_Category" dataDxfId="180"/>
    <tableColumn id="4" xr3:uid="{39E1D3FB-2315-E245-954E-65C9F23E5439}" name="Route_ID" dataDxfId="179"/>
    <tableColumn id="2" xr3:uid="{3C0EC70E-E680-9F43-8A81-4CFFF67905C6}" name="Annual_Opt._Cost_€" dataDxfId="178">
      <calculatedColumnFormula>_xlfn.XLOOKUP(Table_Annual_Route_Cost_Comp[[#This Row],[Route_ID]],Table_Route_Opt[Route_ID],Table_Route_Opt[Annual_Cost_€],"-",0)</calculatedColumnFormula>
    </tableColumn>
    <tableColumn id="3" xr3:uid="{15F7926D-E07B-B446-AE16-035936097E31}" name="Δ_Annual_Cost_€" dataDxfId="177">
      <calculatedColumnFormula>_xlfn.XLOOKUP(Table_Annual_Route_Cost_Comp[[#This Row],[Sub_Category]],Transport_Costs!B9:B16,Transport_Costs!F9:F16,"-",0)-Table_Annual_Route_Cost_Comp[[#This Row],[Annual_Opt._Cost_€]]</calculatedColumnFormula>
    </tableColumn>
  </tableColumns>
  <tableStyleInfo name="TableStyleMedium1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E5253E1-70BF-064D-8183-253FFE8F2482}" name="Table_Route_Opt" displayName="Table_Route_Opt" ref="A1:P7" totalsRowShown="0" headerRowDxfId="176" tableBorderDxfId="175">
  <autoFilter ref="A1:P7" xr:uid="{DE5253E1-70BF-064D-8183-253FFE8F2482}"/>
  <sortState xmlns:xlrd2="http://schemas.microsoft.com/office/spreadsheetml/2017/richdata2" ref="A2:P7">
    <sortCondition ref="A1:A7"/>
  </sortState>
  <tableColumns count="16">
    <tableColumn id="1" xr3:uid="{73B5FA02-4A45-DB41-8057-791D738AADAF}" name="Route_ID" dataDxfId="174"/>
    <tableColumn id="2" xr3:uid="{6A3CC36B-6A28-9A49-A759-AC6177D4E0D8}" name="Route_Name"/>
    <tableColumn id="3" xr3:uid="{0DBCF88C-E977-154B-B938-FFCD296E3EED}" name="Delivery_Zone" dataDxfId="173"/>
    <tableColumn id="4" xr3:uid="{8BE04F93-8F5B-5E42-AE73-3A5922B62252}" name="Departure_Point" dataDxfId="172"/>
    <tableColumn id="5" xr3:uid="{EEAED74B-EC52-744B-AE89-9B91A15677E9}" name="Stops_incl_return" dataDxfId="171"/>
    <tableColumn id="6" xr3:uid="{4F47ACC2-B716-D44C-9728-806FDE1E493B}" name="Optimized_Distance_km"/>
    <tableColumn id="7" xr3:uid="{277F6535-E540-8144-ABA7-1C5B3D9769BF}" name="Δ_Distance_km" dataDxfId="170">
      <calculatedColumnFormula>_xlfn.XLOOKUP(Table_Route_Opt[[#This Row],[Route_ID]],Current_Routes!$A$2:$A$9,Current_Routes!$G$2:$G$9,"-",0)-Table_Route_Opt[[#This Row],[Optimized_Distance_km]]</calculatedColumnFormula>
    </tableColumn>
    <tableColumn id="8" xr3:uid="{2AEFA3F2-1CAE-1542-A19F-95C4881528C7}" name="Optimized_Duration_hrs"/>
    <tableColumn id="9" xr3:uid="{97C3EBDC-B472-7C45-9706-A42B07048EEE}" name="Δ_Duration_hrs" dataDxfId="169">
      <calculatedColumnFormula>_xlfn.XLOOKUP(Table_Route_Opt[[#This Row],[Route_ID]],Current_Routes!$A$2:$A$9,Current_Routes!$H$2:$H$9,"-",0)-Table_Route_Opt[[#This Row],[Optimized_Duration_hrs]]</calculatedColumnFormula>
    </tableColumn>
    <tableColumn id="10" xr3:uid="{A1C99922-9B98-6145-9BBC-98038E4CCEF4}" name="Frequency_per_week" dataDxfId="168"/>
    <tableColumn id="11" xr3:uid="{5366585D-7EC2-5740-930E-DA05FDA75FEF}" name="Cost_per_run_€" dataDxfId="167">
      <calculatedColumnFormula>Table_Route_Opt[[#This Row],[Cost_per_km_€]]*Table_Route_Opt[[#This Row],[Optimized_Distance_km]]</calculatedColumnFormula>
    </tableColumn>
    <tableColumn id="12" xr3:uid="{2419F5F6-ADB0-D24B-A96C-BD3326D321BD}" name="Cost_per_km_€" dataDxfId="166" dataCellStyle="Währung"/>
    <tableColumn id="13" xr3:uid="{0D1E5E6A-23D3-6041-8788-4C89982E5291}" name="Δ_Cost_per_run_€" dataDxfId="165" dataCellStyle="Währung">
      <calculatedColumnFormula>_xlfn.XLOOKUP(Table_Route_Opt[[#This Row],[Route_ID]],Current_Routes!$A$2:$A$9,Current_Routes!$J$2:$J$9,"-",0)-Table_Route_Opt[[#This Row],[Cost_per_run_€]]</calculatedColumnFormula>
    </tableColumn>
    <tableColumn id="14" xr3:uid="{18C700A6-45F4-4642-A9B6-D05BE0801606}" name="Vehicle_Type"/>
    <tableColumn id="15" xr3:uid="{4AF58997-EE58-DE4E-9D22-018390DE1440}" name="Final_Cost_€" dataDxfId="164"/>
    <tableColumn id="16" xr3:uid="{6A77889D-3728-3D45-ACB0-660777C54739}" name="Annual_Cost_€"/>
  </tableColumns>
  <tableStyleInfo name="TableStyleMedium13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4F24660F-0574-F147-8EEF-0262D7833103}" name="Table_Inv_Opt" displayName="Table_Inv_Opt" ref="A1:L39" totalsRowShown="0" headerRowDxfId="40">
  <autoFilter ref="A1:L39" xr:uid="{4F24660F-0574-F147-8EEF-0262D7833103}"/>
  <sortState xmlns:xlrd2="http://schemas.microsoft.com/office/spreadsheetml/2017/richdata2" ref="A2:L39">
    <sortCondition ref="A1:A39"/>
  </sortState>
  <tableColumns count="12">
    <tableColumn id="1" xr3:uid="{6D1759F0-3025-B245-826D-0F9989122B79}" name="SKU_ID"/>
    <tableColumn id="2" xr3:uid="{6A6BA236-D8BF-9C48-B990-A641176CD686}" name="Product_Name"/>
    <tableColumn id="3" xr3:uid="{AECB8F11-78DF-BA49-9BB3-D8437BAA1E63}" name="ABC_XYZ" dataDxfId="22">
      <calculatedColumnFormula>_xlfn.XLOOKUP(Table_Inv_Opt[[#This Row],[SKU_ID]],Tabelle8[SKU_ID],Tabelle8[ABC_XYZ],"-",0)</calculatedColumnFormula>
    </tableColumn>
    <tableColumn id="10" xr3:uid="{B631198A-D558-E749-8B68-7FD073132B24}" name="Lead_Times_days" dataDxfId="23">
      <calculatedColumnFormula>_xlfn.XLOOKUP(Table_Inv_Opt[[#This Row],[SKU_ID]],Tabelle2[SKU_ID],Tabelle2[Lead_Time_days],"-",0)</calculatedColumnFormula>
    </tableColumn>
    <tableColumn id="9" xr3:uid="{4869CECF-020B-1246-A5E4-BAB330CA8B6D}" name="Avg_Monthly_Demand" dataDxfId="38">
      <calculatedColumnFormula>_xlfn.XLOOKUP(Table_Inv_Opt[[#This Row],[SKU_ID]],Tabelle8[SKU_ID],Tabelle8[Avg_Monthly],"-",0)</calculatedColumnFormula>
    </tableColumn>
    <tableColumn id="8" xr3:uid="{024580AE-1768-6642-87AC-25D631F9FBB1}" name="StdDev_Monthly" dataDxfId="37">
      <calculatedColumnFormula>_xlfn.XLOOKUP(Table_Inv_Opt[[#This Row],[SKU_ID]],Tabelle8[SKU_ID],Tabelle8[StdDev_Monthly],"-",0)</calculatedColumnFormula>
    </tableColumn>
    <tableColumn id="4" xr3:uid="{91BBDDD3-EEFE-0E44-BE08-1DD079B7657F}" name="Service_Level_Z" dataDxfId="36">
      <calculatedColumnFormula>IF(LEFT(Table_Inv_Opt[[#This Row],[ABC_XYZ]],1)="A",2.05,IF(LEFT(Table_Inv_Opt[[#This Row],[ABC_XYZ]],1)="B",1.65,1.28))</calculatedColumnFormula>
    </tableColumn>
    <tableColumn id="5" xr3:uid="{F720E917-4E3D-0847-A0B2-1FB4BE0C017A}" name="New_Safety_Stock" dataDxfId="35">
      <calculatedColumnFormula>ROUNDUP(Table_Inv_Opt[[#This Row],[Service_Level_Z]]*Table_Inv_Opt[[#This Row],[StdDev_Monthly]]*SQRT(Table_Inv_Opt[[#This Row],[Lead_Times_days]]/30),0)</calculatedColumnFormula>
    </tableColumn>
    <tableColumn id="6" xr3:uid="{78B56271-8ACE-4A46-8D39-EB174BA21943}" name="New_ROP" dataDxfId="34">
      <calculatedColumnFormula>ROUNDUP((Table_Inv_Opt[[#This Row],[Avg_Monthly_Demand]]/30*Table_Inv_Opt[[#This Row],[Lead_Times_days]])+Table_Inv_Opt[[#This Row],[New_Safety_Stock]],0)</calculatedColumnFormula>
    </tableColumn>
    <tableColumn id="12" xr3:uid="{A716DA8A-C332-9E45-AC94-8473C3839E9E}" name="Annual_Demand_2024" dataDxfId="33">
      <calculatedColumnFormula>_xlfn.XLOOKUP(Table_Inv_Opt[[#This Row],[SKU_ID]],Table_Order_History[SKU_ID],Table_Order_History[Total_2024],"-")</calculatedColumnFormula>
    </tableColumn>
    <tableColumn id="11" xr3:uid="{8E3E683A-6342-B84B-966D-67172FAEF3AF}" name="Unit_Purchase_Cost_€" dataCellStyle="Währung">
      <calculatedColumnFormula>_xlfn.XLOOKUP(Table_Inv_Opt[[#This Row],[SKU_ID]],Tabelle2[SKU_ID],Tabelle2[Unit_Purchase_Cost_€],"-",0)</calculatedColumnFormula>
    </tableColumn>
    <tableColumn id="7" xr3:uid="{B8AA53CD-802B-FE47-8B02-4516C753ECED}" name="EOQ" dataDxfId="32">
      <calculatedColumnFormula>ROUND(SQRT((2*Table_Inv_Opt[[#This Row],[Annual_Demand_2024]]*22)/(0.18*Table_Inv_Opt[[#This Row],[Unit_Purchase_Cost_€]])),0)</calculatedColumnFormula>
    </tableColumn>
  </tableColumns>
  <tableStyleInfo name="TableStyleMedium13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DE811109-82F1-614B-ACB4-AA72E41ECA9D}" name="Tabelle21" displayName="Tabelle21" ref="A41:G79" totalsRowShown="0" headerRowDxfId="31">
  <autoFilter ref="A41:G79" xr:uid="{DE811109-82F1-614B-ACB4-AA72E41ECA9D}"/>
  <sortState xmlns:xlrd2="http://schemas.microsoft.com/office/spreadsheetml/2017/richdata2" ref="A42:G79">
    <sortCondition ref="A41:A79"/>
  </sortState>
  <tableColumns count="7">
    <tableColumn id="1" xr3:uid="{ACED3DD5-54CB-EE47-A8A8-988B5FF65CE0}" name="SKU_ID"/>
    <tableColumn id="2" xr3:uid="{AA249F09-EE18-754A-B481-313D8F5C746C}" name="Old_Safety_Stock" dataDxfId="27">
      <calculatedColumnFormula>_xlfn.XLOOKUP(Tabelle21[[#This Row],[SKU_ID]],Tabelle6[SKU_ID],Tabelle6[Safety_Stock_units],"-",0)</calculatedColumnFormula>
    </tableColumn>
    <tableColumn id="3" xr3:uid="{44C5D940-A52B-334C-8AD6-390B69877B97}" name="Δ_SS" dataDxfId="26">
      <calculatedColumnFormula>_xlfn.XLOOKUP(Tabelle21[[#This Row],[SKU_ID]],Table_Inv_Opt[SKU_ID],Table_Inv_Opt[New_Safety_Stock],"-",0)-Tabelle21[[#This Row],[Old_Safety_Stock]]</calculatedColumnFormula>
    </tableColumn>
    <tableColumn id="4" xr3:uid="{4B2440CA-EAAD-1C4D-BFF4-F6F095FDDDB0}" name="Old_ROP" dataDxfId="25">
      <calculatedColumnFormula>_xlfn.XLOOKUP(Tabelle21[[#This Row],[SKU_ID]],Tabelle6[SKU_ID],Tabelle6[Reorder_Point_units],"-",0)</calculatedColumnFormula>
    </tableColumn>
    <tableColumn id="5" xr3:uid="{5EF68A6F-D456-3146-8E8F-6D51076F299F}" name="Δ_ROP" dataDxfId="24">
      <calculatedColumnFormula>_xlfn.XLOOKUP(Tabelle21[[#This Row],[SKU_ID]],Table_Inv_Opt[SKU_ID],Table_Inv_Opt[New_ROP],"-",0)-Tabelle21[[#This Row],[Old_ROP]]</calculatedColumnFormula>
    </tableColumn>
    <tableColumn id="6" xr3:uid="{8E631A66-0818-0D43-AE1F-846711258FFE}" name="Old_Order_qty" dataDxfId="21">
      <calculatedColumnFormula>_xlfn.XLOOKUP(Tabelle21[[#This Row],[SKU_ID]],Tabelle6[SKU_ID],Tabelle6[Reorder_Qty_units],"-",0)</calculatedColumnFormula>
    </tableColumn>
    <tableColumn id="7" xr3:uid="{54A598A0-E1AB-D24E-80A4-CED444C5CB62}" name="Δ_Order_qty" dataDxfId="20">
      <calculatedColumnFormula>_xlfn.XLOOKUP(Tabelle21[[#This Row],[SKU_ID]],Table_Inv_Opt[SKU_ID],Table_Inv_Opt[EOQ],"-",0)-Tabelle21[[#This Row],[Old_Order_qty]]</calculatedColumnFormula>
    </tableColumn>
  </tableColumns>
  <tableStyleInfo name="TableStyleMedium13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5A9FF2EC-F063-514C-997A-3F390381DA74}" name="Tabelle22" displayName="Tabelle22" ref="N11:R13" totalsRowShown="0" headerRowDxfId="30">
  <autoFilter ref="N11:R13" xr:uid="{5A9FF2EC-F063-514C-997A-3F390381DA74}"/>
  <tableColumns count="5">
    <tableColumn id="1" xr3:uid="{2EC91092-014B-E54E-9913-BD22A17BF83F}" name="SKU_ID"/>
    <tableColumn id="5" xr3:uid="{ADAB9113-6D01-3740-BBE6-5A008A586E33}" name="New_HiSe_Avg"/>
    <tableColumn id="4" xr3:uid="{B3EC75FC-7D9D-A94F-91F2-8D929C4D0043}" name="New_LoSe_Avg"/>
    <tableColumn id="2" xr3:uid="{73313B47-1AA5-BD48-80F6-03D994A996CC}" name="New_ROP_HighSeason" dataDxfId="29">
      <calculatedColumnFormula>ROUNDUP((Tabelle22[[#This Row],[New_HiSe_Avg]]/30*D16)+H16,0)</calculatedColumnFormula>
    </tableColumn>
    <tableColumn id="3" xr3:uid="{8CE0D21E-340F-C747-9EB3-418633BE4C21}" name="New_ROP_LowSeason" dataDxfId="28">
      <calculatedColumnFormula>ROUNDUP((Tabelle22[[#This Row],[New_LoSe_Avg]]/30*D16)+H16,0)</calculatedColumnFormula>
    </tableColumn>
  </tableColumns>
  <tableStyleInfo name="TableStyleMedium13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826B09C-4C0C-F943-8C43-CD88DE62BB98}" name="Tabelle10" displayName="Tabelle10" ref="A8:D65" totalsRowShown="0">
  <autoFilter ref="A8:D65" xr:uid="{4826B09C-4C0C-F943-8C43-CD88DE62BB98}"/>
  <tableColumns count="4">
    <tableColumn id="1" xr3:uid="{12B59FA5-82E1-304D-9A07-9F3C0B6AE795}" name="Path Id"/>
    <tableColumn id="2" xr3:uid="{39359B7E-A71D-964D-A35D-33EA99E77EC1}" name="Name"/>
    <tableColumn id="3" xr3:uid="{A9019969-A766-BC41-8A9C-506EC0053509}" name="Latitude"/>
    <tableColumn id="4" xr3:uid="{F62B5C04-0070-5446-82CF-6252D237B460}" name="Longitud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BCBD735-E0ED-9E48-BFCF-FB94573D54BC}" name="Tabelle11" displayName="Tabelle11" ref="J6:P11" totalsRowShown="0" dataDxfId="48">
  <autoFilter ref="J6:P11" xr:uid="{4BCBD735-E0ED-9E48-BFCF-FB94573D54BC}"/>
  <tableColumns count="7">
    <tableColumn id="1" xr3:uid="{F1680C2B-AE31-F046-94D3-B7CAEAA8F17F}" name="Path Id" dataDxfId="47"/>
    <tableColumn id="2" xr3:uid="{2D25DB80-B4B4-A14F-BB37-5FA80BC02271}" name="Total Distance" dataDxfId="46"/>
    <tableColumn id="3" xr3:uid="{9EFB6E72-67EC-5D41-8D10-F6BF592D4BCF}" name="Total Duration" dataDxfId="45"/>
    <tableColumn id="4" xr3:uid="{4F1AE75C-B5E1-F04E-84AA-C3D94AEDE553}" name="Max Height" dataDxfId="44"/>
    <tableColumn id="5" xr3:uid="{19DD7D85-2F21-1446-ACA0-426C9EC2F1FB}" name="Min Height" dataDxfId="43"/>
    <tableColumn id="6" xr3:uid="{F09AE05C-43FF-F44F-BCA4-E8C9A4FE8AAB}" name="Meters Up" dataDxfId="42"/>
    <tableColumn id="7" xr3:uid="{696CC9CD-731A-F443-8A57-D7E3AEAA6B96}" name="Meters Down" dataDxfId="41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2349150-6B7B-9347-BA44-C6B4CCBA46D7}" name="Tabelle12" displayName="Tabelle12" ref="J13:O65" totalsRowShown="0">
  <autoFilter ref="J13:O65" xr:uid="{52349150-6B7B-9347-BA44-C6B4CCBA46D7}"/>
  <sortState xmlns:xlrd2="http://schemas.microsoft.com/office/spreadsheetml/2017/richdata2" ref="J14:O65">
    <sortCondition ref="J13:J65"/>
  </sortState>
  <tableColumns count="6">
    <tableColumn id="1" xr3:uid="{390460CD-24CD-5547-AA73-341CE8D11C1C}" name="Path Id"/>
    <tableColumn id="2" xr3:uid="{578BF918-CC6A-3742-B16A-B832515C146C}" name="Transport Leg"/>
    <tableColumn id="3" xr3:uid="{22EDE87D-6838-BC46-BC27-D5CFA4ACBA63}" name="Start"/>
    <tableColumn id="4" xr3:uid="{3418F82D-D159-D345-B781-1EE7C1B4052B}" name="End"/>
    <tableColumn id="5" xr3:uid="{CFD4D187-3F4E-EF4C-994F-4542166E5346}" name="Distance"/>
    <tableColumn id="6" xr3:uid="{7803BFDA-AFF4-364B-ACA5-272E1E88C4E2}" name="Dura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DFF2B06-B06C-FA47-96F5-DB7FB056E878}" name="Tabelle14" displayName="Tabelle14" ref="A8:D27" totalsRowShown="0">
  <autoFilter ref="A8:D27" xr:uid="{DDFF2B06-B06C-FA47-96F5-DB7FB056E878}"/>
  <tableColumns count="4">
    <tableColumn id="1" xr3:uid="{F1E6F514-D0CF-834E-9F86-7B6EF27B4CF3}" name="Path Id"/>
    <tableColumn id="2" xr3:uid="{03C53477-54FC-314A-9ACF-C1CE8B554C54}" name="Name"/>
    <tableColumn id="3" xr3:uid="{2F0FF561-C3CE-5845-B149-850475742334}" name="Latitude"/>
    <tableColumn id="4" xr3:uid="{187A0147-33D7-E546-A06B-FCE883753A4B}" name="Longitud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3E995AE-BE23-3B40-87BD-5AD9E184BAEC}" name="Tabelle15" displayName="Tabelle15" ref="H6:N8" totalsRowShown="0">
  <autoFilter ref="H6:N8" xr:uid="{23E995AE-BE23-3B40-87BD-5AD9E184BAEC}"/>
  <tableColumns count="7">
    <tableColumn id="1" xr3:uid="{97F2D3E4-3E57-A64A-A04F-80F67760441D}" name="Path Id"/>
    <tableColumn id="2" xr3:uid="{5293C0BD-EFDD-4D4D-B356-8CF448A0E6DC}" name="Total Distance"/>
    <tableColumn id="3" xr3:uid="{50FD28A1-BEDF-4F43-B1B2-0687F5B5206B}" name="Total Duration"/>
    <tableColumn id="4" xr3:uid="{4A78D66D-7F8F-B64A-85D8-6AECD4A6E6D1}" name="Max Height"/>
    <tableColumn id="5" xr3:uid="{80CE6D0B-1C3B-1549-A63A-0CD449057994}" name="Min Height"/>
    <tableColumn id="6" xr3:uid="{B798A62A-D2F3-9A4E-A748-62880F45C768}" name="Meters Up"/>
    <tableColumn id="7" xr3:uid="{694D5ED4-5529-E041-965E-3D18A9897E43}" name="Meters Down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338415F-5DF2-1349-B975-C2CB41B8C863}" name="Tabelle16" displayName="Tabelle16" ref="H10:M27" totalsRowShown="0">
  <autoFilter ref="H10:M27" xr:uid="{0338415F-5DF2-1349-B975-C2CB41B8C863}"/>
  <sortState xmlns:xlrd2="http://schemas.microsoft.com/office/spreadsheetml/2017/richdata2" ref="H11:M27">
    <sortCondition ref="H10:H27"/>
  </sortState>
  <tableColumns count="6">
    <tableColumn id="1" xr3:uid="{F62A0A40-3FEF-9C4F-971B-EFCCA7343835}" name="Path Id"/>
    <tableColumn id="2" xr3:uid="{604EFE22-E92A-CC4E-8F70-750C9C68DAD8}" name="Transport Leg"/>
    <tableColumn id="3" xr3:uid="{00AA7848-0A40-944D-AB64-D6CFBFF2D922}" name="Start"/>
    <tableColumn id="4" xr3:uid="{C540DF28-AC7B-C546-94BF-3076137577D1}" name="End"/>
    <tableColumn id="5" xr3:uid="{0B6EFBDC-D27A-6349-BE26-C8479521FD20}" name="Distance"/>
    <tableColumn id="6" xr3:uid="{4EC67B60-D8E1-B14D-8BF0-F826C836AACE}" name="Dur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E4BF1AF-202B-8A4A-9A3C-7BF731539B59}">
  <we:reference id="wa104381181" version="5.0.0.3" store="de-DE" storeType="OMEX"/>
  <we:alternateReferences>
    <we:reference id="WA104381181" version="5.0.0.3" store="" storeType="OMEX"/>
  </we:alternateReferences>
  <we:properties>
    <we:property name="6_1addresses" value="&quot;9252250f-4168b4e1-7add3482&quot;"/>
    <we:property name="6_2geocodes" value="&quot;2d56dbb6-f4c17a32-1a207a7b&quot;"/>
    <we:property name="6_2tripDetails" value="&quot;f8148aa9-79c00f32-1365ac25&quot;"/>
    <we:property name="6_2tripOverview" value="&quot;2e524af6-4fcae89d-d0b55933&quot;"/>
  </we:properties>
  <we:bindings>
    <we:binding id="9252250f-4168b4e1-7add3482" type="table" appref="{7A80B533-BAE2-E048-B9F9-0995550DD37B}"/>
    <we:binding id="2d56dbb6-f4c17a32-1a207a7b" type="table" appref="{0720EDD8-A97C-E249-AA59-BE77A612F329}"/>
    <we:binding id="2e524af6-4fcae89d-d0b55933" type="table" appref="{A6AFEBEC-F5E4-2A49-B394-105143985806}"/>
    <we:binding id="f8148aa9-79c00f32-1365ac25" type="table" appref="{FDAFD192-4D8C-BB4A-8717-4E093EBC77AD}"/>
  </we:bindings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table" Target="../tables/table18.xml"/><Relationship Id="rId1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zoomScaleNormal="100" workbookViewId="0">
      <selection activeCell="B1" sqref="B1"/>
    </sheetView>
  </sheetViews>
  <sheetFormatPr baseColWidth="10" defaultColWidth="8.6640625" defaultRowHeight="15" x14ac:dyDescent="0.2"/>
  <cols>
    <col min="1" max="1" width="32" customWidth="1"/>
    <col min="2" max="2" width="56" bestFit="1" customWidth="1"/>
  </cols>
  <sheetData>
    <row r="1" spans="1:2" ht="15" customHeight="1" x14ac:dyDescent="0.2">
      <c r="A1" s="1" t="s">
        <v>0</v>
      </c>
      <c r="B1" s="2" t="s">
        <v>1</v>
      </c>
    </row>
    <row r="2" spans="1:2" ht="15" customHeight="1" x14ac:dyDescent="0.2">
      <c r="A2" s="3" t="s">
        <v>2</v>
      </c>
      <c r="B2" s="3" t="s">
        <v>3</v>
      </c>
    </row>
    <row r="3" spans="1:2" ht="15" customHeight="1" x14ac:dyDescent="0.2">
      <c r="A3" s="3" t="s">
        <v>4</v>
      </c>
      <c r="B3" s="3" t="s">
        <v>5</v>
      </c>
    </row>
    <row r="4" spans="1:2" ht="15" customHeight="1" x14ac:dyDescent="0.2">
      <c r="A4" s="3" t="s">
        <v>6</v>
      </c>
      <c r="B4" s="3" t="s">
        <v>7</v>
      </c>
    </row>
    <row r="5" spans="1:2" ht="15" customHeight="1" x14ac:dyDescent="0.2">
      <c r="A5" s="3" t="s">
        <v>8</v>
      </c>
      <c r="B5" s="3" t="s">
        <v>9</v>
      </c>
    </row>
    <row r="6" spans="1:2" ht="15" customHeight="1" x14ac:dyDescent="0.2">
      <c r="A6" s="3" t="s">
        <v>10</v>
      </c>
      <c r="B6" s="3" t="s">
        <v>11</v>
      </c>
    </row>
    <row r="7" spans="1:2" ht="15" customHeight="1" x14ac:dyDescent="0.2">
      <c r="A7" s="3" t="s">
        <v>12</v>
      </c>
      <c r="B7" s="28">
        <v>48.199857999999999</v>
      </c>
    </row>
    <row r="8" spans="1:2" ht="15" customHeight="1" x14ac:dyDescent="0.2">
      <c r="A8" s="3" t="s">
        <v>13</v>
      </c>
      <c r="B8" s="6">
        <v>11.577069</v>
      </c>
    </row>
    <row r="9" spans="1:2" ht="15" customHeight="1" x14ac:dyDescent="0.2">
      <c r="A9" s="3" t="s">
        <v>14</v>
      </c>
      <c r="B9" s="3">
        <v>1850</v>
      </c>
    </row>
    <row r="10" spans="1:2" ht="15" customHeight="1" x14ac:dyDescent="0.2">
      <c r="A10" s="3" t="s">
        <v>15</v>
      </c>
      <c r="B10" s="3">
        <v>8.5</v>
      </c>
    </row>
    <row r="11" spans="1:2" ht="15" customHeight="1" x14ac:dyDescent="0.2">
      <c r="A11" s="3" t="s">
        <v>16</v>
      </c>
      <c r="B11" s="3">
        <v>47</v>
      </c>
    </row>
    <row r="12" spans="1:2" ht="15" customHeight="1" x14ac:dyDescent="0.2">
      <c r="A12" s="3" t="s">
        <v>17</v>
      </c>
      <c r="B12" s="3">
        <v>38</v>
      </c>
    </row>
    <row r="13" spans="1:2" ht="15" customHeight="1" x14ac:dyDescent="0.2">
      <c r="A13" s="3" t="s">
        <v>18</v>
      </c>
      <c r="B13" s="18" t="s">
        <v>512</v>
      </c>
    </row>
    <row r="14" spans="1:2" ht="15" customHeight="1" x14ac:dyDescent="0.2">
      <c r="A14" s="3" t="s">
        <v>19</v>
      </c>
      <c r="B14" s="3" t="s">
        <v>20</v>
      </c>
    </row>
    <row r="15" spans="1:2" ht="15" customHeight="1" x14ac:dyDescent="0.2">
      <c r="A15" s="3" t="s">
        <v>21</v>
      </c>
      <c r="B15" s="18" t="s">
        <v>518</v>
      </c>
    </row>
    <row r="16" spans="1:2" ht="15" customHeight="1" x14ac:dyDescent="0.2">
      <c r="A16" s="3" t="s">
        <v>22</v>
      </c>
      <c r="B16" s="3" t="s">
        <v>23</v>
      </c>
    </row>
    <row r="17" spans="1:2" ht="15" customHeight="1" x14ac:dyDescent="0.2">
      <c r="A17" s="3" t="s">
        <v>24</v>
      </c>
      <c r="B17" s="3" t="s">
        <v>25</v>
      </c>
    </row>
    <row r="18" spans="1:2" ht="15" customHeight="1" x14ac:dyDescent="0.2">
      <c r="A18" s="3" t="s">
        <v>26</v>
      </c>
      <c r="B18" s="3" t="s">
        <v>27</v>
      </c>
    </row>
    <row r="19" spans="1:2" ht="15" customHeight="1" x14ac:dyDescent="0.2">
      <c r="A19" s="3" t="s">
        <v>28</v>
      </c>
      <c r="B19" s="3" t="s">
        <v>29</v>
      </c>
    </row>
    <row r="20" spans="1:2" ht="15" customHeight="1" x14ac:dyDescent="0.2"/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  <extLst>
    <ext xmlns:x15="http://schemas.microsoft.com/office/spreadsheetml/2010/11/main" uri="{F7C9EE02-42E1-4005-9D12-6889AFFD525C}">
      <x15:webExtensions xmlns:xm="http://schemas.microsoft.com/office/excel/2006/main">
        <x15:webExtension appRef="{0720EDD8-A97C-E249-AA59-BE77A612F329}">
          <xm:f>Tabelle14[#All]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8"/>
  <sheetViews>
    <sheetView zoomScaleNormal="100" workbookViewId="0">
      <selection activeCell="G24" sqref="G24"/>
    </sheetView>
  </sheetViews>
  <sheetFormatPr baseColWidth="10" defaultColWidth="8.6640625" defaultRowHeight="15" x14ac:dyDescent="0.2"/>
  <cols>
    <col min="1" max="1" width="14" customWidth="1"/>
    <col min="2" max="2" width="32" customWidth="1"/>
    <col min="3" max="3" width="14" customWidth="1"/>
    <col min="4" max="4" width="40" customWidth="1"/>
    <col min="5" max="6" width="10" customWidth="1"/>
    <col min="7" max="7" width="15.33203125" customWidth="1"/>
    <col min="8" max="8" width="20.6640625" customWidth="1"/>
    <col min="9" max="9" width="22" customWidth="1"/>
    <col min="10" max="10" width="17" customWidth="1"/>
  </cols>
  <sheetData>
    <row r="1" spans="1:10" ht="15" customHeight="1" x14ac:dyDescent="0.2">
      <c r="A1" s="1" t="s">
        <v>149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  <c r="J1" s="1" t="s">
        <v>158</v>
      </c>
    </row>
    <row r="2" spans="1:10" ht="15" customHeight="1" x14ac:dyDescent="0.2">
      <c r="A2" s="3" t="s">
        <v>159</v>
      </c>
      <c r="B2" s="3" t="s">
        <v>160</v>
      </c>
      <c r="C2" s="3" t="s">
        <v>161</v>
      </c>
      <c r="D2" s="3" t="s">
        <v>162</v>
      </c>
      <c r="E2" s="3">
        <v>48.162100000000002</v>
      </c>
      <c r="F2" s="3">
        <v>11.5822</v>
      </c>
      <c r="G2" s="3" t="s">
        <v>163</v>
      </c>
      <c r="H2" s="3">
        <v>14</v>
      </c>
      <c r="I2" s="3">
        <v>30</v>
      </c>
      <c r="J2" s="3" t="s">
        <v>164</v>
      </c>
    </row>
    <row r="3" spans="1:10" ht="15" customHeight="1" x14ac:dyDescent="0.2">
      <c r="A3" s="3" t="s">
        <v>165</v>
      </c>
      <c r="B3" s="3" t="s">
        <v>166</v>
      </c>
      <c r="C3" s="3" t="s">
        <v>161</v>
      </c>
      <c r="D3" s="3" t="s">
        <v>167</v>
      </c>
      <c r="E3" s="3">
        <v>48.152700000000003</v>
      </c>
      <c r="F3" s="3">
        <v>11.5715</v>
      </c>
      <c r="G3" s="3" t="s">
        <v>163</v>
      </c>
      <c r="H3" s="3">
        <v>8</v>
      </c>
      <c r="I3" s="3">
        <v>30</v>
      </c>
      <c r="J3" s="3" t="s">
        <v>168</v>
      </c>
    </row>
    <row r="4" spans="1:10" ht="15" customHeight="1" x14ac:dyDescent="0.2">
      <c r="A4" s="3" t="s">
        <v>169</v>
      </c>
      <c r="B4" s="3" t="s">
        <v>170</v>
      </c>
      <c r="C4" s="3" t="s">
        <v>161</v>
      </c>
      <c r="D4" s="3" t="s">
        <v>171</v>
      </c>
      <c r="E4" s="3">
        <v>48.142400000000002</v>
      </c>
      <c r="F4" s="3">
        <v>11.4612</v>
      </c>
      <c r="G4" s="3" t="s">
        <v>163</v>
      </c>
      <c r="H4" s="3">
        <v>11</v>
      </c>
      <c r="I4" s="3">
        <v>14</v>
      </c>
      <c r="J4" s="3" t="s">
        <v>172</v>
      </c>
    </row>
    <row r="5" spans="1:10" ht="15" customHeight="1" x14ac:dyDescent="0.2">
      <c r="A5" s="3" t="s">
        <v>173</v>
      </c>
      <c r="B5" s="3" t="s">
        <v>174</v>
      </c>
      <c r="C5" s="3" t="s">
        <v>161</v>
      </c>
      <c r="D5" s="3" t="s">
        <v>175</v>
      </c>
      <c r="E5" s="3">
        <v>48.118899999999996</v>
      </c>
      <c r="F5" s="3">
        <v>11.604799999999999</v>
      </c>
      <c r="G5" s="3" t="s">
        <v>163</v>
      </c>
      <c r="H5" s="3">
        <v>6</v>
      </c>
      <c r="I5" s="3">
        <v>30</v>
      </c>
      <c r="J5" s="3" t="s">
        <v>176</v>
      </c>
    </row>
    <row r="6" spans="1:10" ht="15" customHeight="1" x14ac:dyDescent="0.2">
      <c r="A6" s="3" t="s">
        <v>177</v>
      </c>
      <c r="B6" s="3" t="s">
        <v>178</v>
      </c>
      <c r="C6" s="3" t="s">
        <v>161</v>
      </c>
      <c r="D6" s="3" t="s">
        <v>179</v>
      </c>
      <c r="E6" s="3">
        <v>48.1297</v>
      </c>
      <c r="F6" s="3">
        <v>11.5764</v>
      </c>
      <c r="G6" s="3" t="s">
        <v>163</v>
      </c>
      <c r="H6" s="3">
        <v>9</v>
      </c>
      <c r="I6" s="3">
        <v>30</v>
      </c>
      <c r="J6" s="3" t="s">
        <v>180</v>
      </c>
    </row>
    <row r="7" spans="1:10" ht="15" customHeight="1" x14ac:dyDescent="0.2">
      <c r="A7" s="3" t="s">
        <v>181</v>
      </c>
      <c r="B7" s="3" t="s">
        <v>182</v>
      </c>
      <c r="C7" s="3" t="s">
        <v>161</v>
      </c>
      <c r="D7" s="3" t="s">
        <v>183</v>
      </c>
      <c r="E7" s="3">
        <v>48.154200000000003</v>
      </c>
      <c r="F7" s="3">
        <v>11.5312</v>
      </c>
      <c r="G7" s="3" t="s">
        <v>163</v>
      </c>
      <c r="H7" s="3">
        <v>12</v>
      </c>
      <c r="I7" s="3">
        <v>14</v>
      </c>
      <c r="J7" s="3" t="s">
        <v>184</v>
      </c>
    </row>
    <row r="8" spans="1:10" ht="15" customHeight="1" x14ac:dyDescent="0.2">
      <c r="A8" s="3" t="s">
        <v>185</v>
      </c>
      <c r="B8" s="3" t="s">
        <v>186</v>
      </c>
      <c r="C8" s="3" t="s">
        <v>161</v>
      </c>
      <c r="D8" s="3" t="s">
        <v>187</v>
      </c>
      <c r="E8" s="3">
        <v>48.147799999999997</v>
      </c>
      <c r="F8" s="3">
        <v>11.610099999999999</v>
      </c>
      <c r="G8" s="3" t="s">
        <v>163</v>
      </c>
      <c r="H8" s="3">
        <v>5</v>
      </c>
      <c r="I8" s="3">
        <v>30</v>
      </c>
      <c r="J8" s="3" t="s">
        <v>188</v>
      </c>
    </row>
    <row r="9" spans="1:10" ht="15" customHeight="1" x14ac:dyDescent="0.2">
      <c r="A9" s="3" t="s">
        <v>189</v>
      </c>
      <c r="B9" s="3" t="s">
        <v>190</v>
      </c>
      <c r="C9" s="3" t="s">
        <v>161</v>
      </c>
      <c r="D9" s="3" t="s">
        <v>191</v>
      </c>
      <c r="E9" s="3">
        <v>48.1218</v>
      </c>
      <c r="F9" s="3">
        <v>11.553100000000001</v>
      </c>
      <c r="G9" s="3" t="s">
        <v>163</v>
      </c>
      <c r="H9" s="3">
        <v>7</v>
      </c>
      <c r="I9" s="3">
        <v>30</v>
      </c>
      <c r="J9" s="3" t="s">
        <v>192</v>
      </c>
    </row>
    <row r="10" spans="1:10" ht="15" customHeight="1" x14ac:dyDescent="0.2">
      <c r="A10" s="3" t="s">
        <v>193</v>
      </c>
      <c r="B10" s="3" t="s">
        <v>194</v>
      </c>
      <c r="C10" s="3" t="s">
        <v>161</v>
      </c>
      <c r="D10" s="3" t="s">
        <v>195</v>
      </c>
      <c r="E10" s="3">
        <v>48.115499999999997</v>
      </c>
      <c r="F10" s="3">
        <v>11.579800000000001</v>
      </c>
      <c r="G10" s="3" t="s">
        <v>163</v>
      </c>
      <c r="H10" s="3">
        <v>4</v>
      </c>
      <c r="I10" s="3">
        <v>30</v>
      </c>
      <c r="J10" s="3" t="s">
        <v>196</v>
      </c>
    </row>
    <row r="11" spans="1:10" ht="15" customHeight="1" x14ac:dyDescent="0.2">
      <c r="A11" s="3" t="s">
        <v>197</v>
      </c>
      <c r="B11" s="3" t="s">
        <v>198</v>
      </c>
      <c r="C11" s="3" t="s">
        <v>161</v>
      </c>
      <c r="D11" s="3" t="s">
        <v>199</v>
      </c>
      <c r="E11" s="3">
        <v>48.159399999999998</v>
      </c>
      <c r="F11" s="3">
        <v>11.5839</v>
      </c>
      <c r="G11" s="3" t="s">
        <v>163</v>
      </c>
      <c r="H11" s="3">
        <v>10</v>
      </c>
      <c r="I11" s="3">
        <v>30</v>
      </c>
      <c r="J11" s="3" t="s">
        <v>200</v>
      </c>
    </row>
    <row r="12" spans="1:10" ht="15" customHeight="1" x14ac:dyDescent="0.2">
      <c r="A12" s="3" t="s">
        <v>201</v>
      </c>
      <c r="B12" s="3" t="s">
        <v>202</v>
      </c>
      <c r="C12" s="3" t="s">
        <v>161</v>
      </c>
      <c r="D12" s="3" t="s">
        <v>203</v>
      </c>
      <c r="E12" s="3">
        <v>48.182200000000002</v>
      </c>
      <c r="F12" s="3">
        <v>11.5124</v>
      </c>
      <c r="G12" s="3" t="s">
        <v>163</v>
      </c>
      <c r="H12" s="3">
        <v>6</v>
      </c>
      <c r="I12" s="3">
        <v>30</v>
      </c>
      <c r="J12" s="3" t="s">
        <v>204</v>
      </c>
    </row>
    <row r="13" spans="1:10" ht="15" customHeight="1" x14ac:dyDescent="0.2">
      <c r="A13" s="3" t="s">
        <v>205</v>
      </c>
      <c r="B13" s="3" t="s">
        <v>206</v>
      </c>
      <c r="C13" s="3" t="s">
        <v>161</v>
      </c>
      <c r="D13" s="3" t="s">
        <v>207</v>
      </c>
      <c r="E13" s="3">
        <v>48.130499999999998</v>
      </c>
      <c r="F13" s="3">
        <v>11.5991</v>
      </c>
      <c r="G13" s="3" t="s">
        <v>163</v>
      </c>
      <c r="H13" s="3">
        <v>8</v>
      </c>
      <c r="I13" s="3">
        <v>14</v>
      </c>
      <c r="J13" s="3" t="s">
        <v>208</v>
      </c>
    </row>
    <row r="14" spans="1:10" ht="15" customHeight="1" x14ac:dyDescent="0.2">
      <c r="A14" s="3" t="s">
        <v>209</v>
      </c>
      <c r="B14" s="3" t="s">
        <v>210</v>
      </c>
      <c r="C14" s="3" t="s">
        <v>161</v>
      </c>
      <c r="D14" s="3" t="s">
        <v>211</v>
      </c>
      <c r="E14" s="3">
        <v>48.148899999999998</v>
      </c>
      <c r="F14" s="3">
        <v>11.5685</v>
      </c>
      <c r="G14" s="3" t="s">
        <v>163</v>
      </c>
      <c r="H14" s="3">
        <v>14</v>
      </c>
      <c r="I14" s="3">
        <v>30</v>
      </c>
      <c r="J14" s="3" t="s">
        <v>212</v>
      </c>
    </row>
    <row r="15" spans="1:10" ht="15" customHeight="1" x14ac:dyDescent="0.2">
      <c r="A15" s="3" t="s">
        <v>213</v>
      </c>
      <c r="B15" s="3" t="s">
        <v>214</v>
      </c>
      <c r="C15" s="3" t="s">
        <v>161</v>
      </c>
      <c r="D15" s="3" t="s">
        <v>215</v>
      </c>
      <c r="E15" s="3">
        <v>48.101500000000001</v>
      </c>
      <c r="F15" s="3">
        <v>11.627800000000001</v>
      </c>
      <c r="G15" s="3" t="s">
        <v>163</v>
      </c>
      <c r="H15" s="3">
        <v>5</v>
      </c>
      <c r="I15" s="3">
        <v>30</v>
      </c>
      <c r="J15" s="3" t="s">
        <v>216</v>
      </c>
    </row>
    <row r="16" spans="1:10" ht="15" customHeight="1" x14ac:dyDescent="0.2">
      <c r="A16" s="3" t="s">
        <v>217</v>
      </c>
      <c r="B16" s="3" t="s">
        <v>218</v>
      </c>
      <c r="C16" s="3" t="s">
        <v>161</v>
      </c>
      <c r="D16" s="3" t="s">
        <v>219</v>
      </c>
      <c r="E16" s="3">
        <v>48.1755</v>
      </c>
      <c r="F16" s="3">
        <v>11.551600000000001</v>
      </c>
      <c r="G16" s="3" t="s">
        <v>163</v>
      </c>
      <c r="H16" s="3">
        <v>7</v>
      </c>
      <c r="I16" s="3">
        <v>30</v>
      </c>
      <c r="J16" s="3" t="s">
        <v>220</v>
      </c>
    </row>
    <row r="17" spans="1:10" ht="15" customHeight="1" x14ac:dyDescent="0.2">
      <c r="A17" s="3" t="s">
        <v>221</v>
      </c>
      <c r="B17" s="3" t="s">
        <v>222</v>
      </c>
      <c r="C17" s="3" t="s">
        <v>223</v>
      </c>
      <c r="D17" s="3" t="s">
        <v>224</v>
      </c>
      <c r="E17" s="3">
        <v>48.778399999999998</v>
      </c>
      <c r="F17" s="3">
        <v>9.18</v>
      </c>
      <c r="G17" s="3" t="s">
        <v>225</v>
      </c>
      <c r="H17" s="3">
        <v>9</v>
      </c>
      <c r="I17" s="3">
        <v>30</v>
      </c>
      <c r="J17" s="3" t="s">
        <v>226</v>
      </c>
    </row>
    <row r="18" spans="1:10" ht="15" customHeight="1" x14ac:dyDescent="0.2">
      <c r="A18" s="3" t="s">
        <v>227</v>
      </c>
      <c r="B18" s="3" t="s">
        <v>228</v>
      </c>
      <c r="C18" s="3" t="s">
        <v>223</v>
      </c>
      <c r="D18" s="3" t="s">
        <v>229</v>
      </c>
      <c r="E18" s="3">
        <v>48.722799999999999</v>
      </c>
      <c r="F18" s="3">
        <v>9.1456999999999997</v>
      </c>
      <c r="G18" s="3" t="s">
        <v>225</v>
      </c>
      <c r="H18" s="3">
        <v>7</v>
      </c>
      <c r="I18" s="3">
        <v>30</v>
      </c>
      <c r="J18" s="3" t="s">
        <v>230</v>
      </c>
    </row>
    <row r="19" spans="1:10" ht="15" customHeight="1" x14ac:dyDescent="0.2">
      <c r="A19" s="3" t="s">
        <v>231</v>
      </c>
      <c r="B19" s="3" t="s">
        <v>232</v>
      </c>
      <c r="C19" s="3" t="s">
        <v>223</v>
      </c>
      <c r="D19" s="3" t="s">
        <v>233</v>
      </c>
      <c r="E19" s="3">
        <v>48.770099999999999</v>
      </c>
      <c r="F19" s="3">
        <v>9.1571999999999996</v>
      </c>
      <c r="G19" s="3" t="s">
        <v>225</v>
      </c>
      <c r="H19" s="3">
        <v>5</v>
      </c>
      <c r="I19" s="3">
        <v>14</v>
      </c>
      <c r="J19" s="3" t="s">
        <v>234</v>
      </c>
    </row>
    <row r="20" spans="1:10" ht="15" customHeight="1" x14ac:dyDescent="0.2">
      <c r="A20" s="3" t="s">
        <v>235</v>
      </c>
      <c r="B20" s="3" t="s">
        <v>236</v>
      </c>
      <c r="C20" s="3" t="s">
        <v>223</v>
      </c>
      <c r="D20" s="3" t="s">
        <v>237</v>
      </c>
      <c r="E20" s="3">
        <v>48.813099999999999</v>
      </c>
      <c r="F20" s="3">
        <v>9.2761999999999993</v>
      </c>
      <c r="G20" s="3" t="s">
        <v>225</v>
      </c>
      <c r="H20" s="3">
        <v>6</v>
      </c>
      <c r="I20" s="3">
        <v>30</v>
      </c>
      <c r="J20" s="3" t="s">
        <v>238</v>
      </c>
    </row>
    <row r="21" spans="1:10" ht="15" customHeight="1" x14ac:dyDescent="0.2">
      <c r="A21" s="3" t="s">
        <v>239</v>
      </c>
      <c r="B21" s="3" t="s">
        <v>240</v>
      </c>
      <c r="C21" s="3" t="s">
        <v>223</v>
      </c>
      <c r="D21" s="3" t="s">
        <v>241</v>
      </c>
      <c r="E21" s="3">
        <v>48.732799999999997</v>
      </c>
      <c r="F21" s="3">
        <v>9.2013999999999996</v>
      </c>
      <c r="G21" s="3" t="s">
        <v>225</v>
      </c>
      <c r="H21" s="3">
        <v>4</v>
      </c>
      <c r="I21" s="3">
        <v>30</v>
      </c>
      <c r="J21" s="3" t="s">
        <v>242</v>
      </c>
    </row>
    <row r="22" spans="1:10" ht="15" customHeight="1" x14ac:dyDescent="0.2">
      <c r="A22" s="3" t="s">
        <v>243</v>
      </c>
      <c r="B22" s="3" t="s">
        <v>244</v>
      </c>
      <c r="C22" s="3" t="s">
        <v>223</v>
      </c>
      <c r="D22" s="3" t="s">
        <v>245</v>
      </c>
      <c r="E22" s="3">
        <v>48.805799999999998</v>
      </c>
      <c r="F22" s="3">
        <v>9.2243999999999993</v>
      </c>
      <c r="G22" s="3" t="s">
        <v>225</v>
      </c>
      <c r="H22" s="3">
        <v>8</v>
      </c>
      <c r="I22" s="3">
        <v>30</v>
      </c>
      <c r="J22" s="3" t="s">
        <v>246</v>
      </c>
    </row>
    <row r="23" spans="1:10" ht="15" customHeight="1" x14ac:dyDescent="0.2">
      <c r="A23" s="3" t="s">
        <v>247</v>
      </c>
      <c r="B23" s="3" t="s">
        <v>248</v>
      </c>
      <c r="C23" s="3" t="s">
        <v>223</v>
      </c>
      <c r="D23" s="3" t="s">
        <v>249</v>
      </c>
      <c r="E23" s="3">
        <v>48.715400000000002</v>
      </c>
      <c r="F23" s="3">
        <v>9.1577999999999999</v>
      </c>
      <c r="G23" s="3" t="s">
        <v>225</v>
      </c>
      <c r="H23" s="3">
        <v>5</v>
      </c>
      <c r="I23" s="3">
        <v>30</v>
      </c>
      <c r="J23" s="3" t="s">
        <v>250</v>
      </c>
    </row>
    <row r="24" spans="1:10" ht="15" customHeight="1" x14ac:dyDescent="0.2">
      <c r="A24" s="3" t="s">
        <v>251</v>
      </c>
      <c r="B24" s="3" t="s">
        <v>252</v>
      </c>
      <c r="C24" s="3" t="s">
        <v>223</v>
      </c>
      <c r="D24" s="3" t="s">
        <v>253</v>
      </c>
      <c r="E24" s="3">
        <v>48.8977</v>
      </c>
      <c r="F24" s="3">
        <v>9.1908999999999992</v>
      </c>
      <c r="G24" s="3" t="s">
        <v>225</v>
      </c>
      <c r="H24" s="3">
        <v>6</v>
      </c>
      <c r="I24" s="3">
        <v>14</v>
      </c>
      <c r="J24" s="3" t="s">
        <v>254</v>
      </c>
    </row>
    <row r="25" spans="1:10" ht="15" customHeight="1" x14ac:dyDescent="0.2">
      <c r="A25" s="3" t="s">
        <v>255</v>
      </c>
      <c r="B25" s="3" t="s">
        <v>256</v>
      </c>
      <c r="C25" s="3" t="s">
        <v>223</v>
      </c>
      <c r="D25" s="3" t="s">
        <v>257</v>
      </c>
      <c r="E25" s="3">
        <v>48.8322</v>
      </c>
      <c r="F25" s="3">
        <v>9.3171999999999997</v>
      </c>
      <c r="G25" s="3" t="s">
        <v>225</v>
      </c>
      <c r="H25" s="3">
        <v>4</v>
      </c>
      <c r="I25" s="3">
        <v>30</v>
      </c>
      <c r="J25" s="3" t="s">
        <v>258</v>
      </c>
    </row>
    <row r="26" spans="1:10" ht="15" customHeight="1" x14ac:dyDescent="0.2">
      <c r="A26" s="3" t="s">
        <v>259</v>
      </c>
      <c r="B26" s="3" t="s">
        <v>260</v>
      </c>
      <c r="C26" s="3" t="s">
        <v>261</v>
      </c>
      <c r="D26" s="3" t="s">
        <v>262</v>
      </c>
      <c r="E26" s="3">
        <v>49.454300000000003</v>
      </c>
      <c r="F26" s="3">
        <v>11.079800000000001</v>
      </c>
      <c r="G26" s="3" t="s">
        <v>263</v>
      </c>
      <c r="H26" s="3">
        <v>10</v>
      </c>
      <c r="I26" s="3">
        <v>30</v>
      </c>
      <c r="J26" s="3" t="s">
        <v>264</v>
      </c>
    </row>
    <row r="27" spans="1:10" ht="15" customHeight="1" x14ac:dyDescent="0.2">
      <c r="A27" s="3" t="s">
        <v>265</v>
      </c>
      <c r="B27" s="3" t="s">
        <v>266</v>
      </c>
      <c r="C27" s="3" t="s">
        <v>261</v>
      </c>
      <c r="D27" s="3" t="s">
        <v>267</v>
      </c>
      <c r="E27" s="3">
        <v>49.461199999999998</v>
      </c>
      <c r="F27" s="3">
        <v>11.051500000000001</v>
      </c>
      <c r="G27" s="3" t="s">
        <v>263</v>
      </c>
      <c r="H27" s="3">
        <v>6</v>
      </c>
      <c r="I27" s="3">
        <v>30</v>
      </c>
      <c r="J27" s="3" t="s">
        <v>268</v>
      </c>
    </row>
    <row r="28" spans="1:10" ht="15" customHeight="1" x14ac:dyDescent="0.2">
      <c r="A28" s="3" t="s">
        <v>269</v>
      </c>
      <c r="B28" s="3" t="s">
        <v>270</v>
      </c>
      <c r="C28" s="3" t="s">
        <v>261</v>
      </c>
      <c r="D28" s="3" t="s">
        <v>271</v>
      </c>
      <c r="E28" s="3">
        <v>49.471800000000002</v>
      </c>
      <c r="F28" s="3">
        <v>10.991199999999999</v>
      </c>
      <c r="G28" s="3" t="s">
        <v>263</v>
      </c>
      <c r="H28" s="3">
        <v>5</v>
      </c>
      <c r="I28" s="3">
        <v>14</v>
      </c>
      <c r="J28" s="3" t="s">
        <v>272</v>
      </c>
    </row>
    <row r="29" spans="1:10" ht="15" customHeight="1" x14ac:dyDescent="0.2">
      <c r="A29" s="3" t="s">
        <v>273</v>
      </c>
      <c r="B29" s="3" t="s">
        <v>274</v>
      </c>
      <c r="C29" s="3" t="s">
        <v>261</v>
      </c>
      <c r="D29" s="3" t="s">
        <v>275</v>
      </c>
      <c r="E29" s="3">
        <v>49.512799999999999</v>
      </c>
      <c r="F29" s="3">
        <v>11.2804</v>
      </c>
      <c r="G29" s="3" t="s">
        <v>263</v>
      </c>
      <c r="H29" s="3">
        <v>4</v>
      </c>
      <c r="I29" s="3">
        <v>30</v>
      </c>
      <c r="J29" s="3" t="s">
        <v>276</v>
      </c>
    </row>
    <row r="30" spans="1:10" ht="15" customHeight="1" x14ac:dyDescent="0.2">
      <c r="A30" s="3" t="s">
        <v>277</v>
      </c>
      <c r="B30" s="3" t="s">
        <v>278</v>
      </c>
      <c r="C30" s="3" t="s">
        <v>261</v>
      </c>
      <c r="D30" s="3" t="s">
        <v>279</v>
      </c>
      <c r="E30" s="3">
        <v>49.598399999999998</v>
      </c>
      <c r="F30" s="3">
        <v>11.0031</v>
      </c>
      <c r="G30" s="3" t="s">
        <v>263</v>
      </c>
      <c r="H30" s="3">
        <v>7</v>
      </c>
      <c r="I30" s="3">
        <v>30</v>
      </c>
      <c r="J30" s="3" t="s">
        <v>168</v>
      </c>
    </row>
    <row r="31" spans="1:10" ht="15" customHeight="1" x14ac:dyDescent="0.2">
      <c r="A31" s="3" t="s">
        <v>280</v>
      </c>
      <c r="B31" s="3" t="s">
        <v>281</v>
      </c>
      <c r="C31" s="3" t="s">
        <v>261</v>
      </c>
      <c r="D31" s="3" t="s">
        <v>282</v>
      </c>
      <c r="E31" s="3">
        <v>49.330199999999998</v>
      </c>
      <c r="F31" s="3">
        <v>11.021800000000001</v>
      </c>
      <c r="G31" s="3" t="s">
        <v>263</v>
      </c>
      <c r="H31" s="3">
        <v>4</v>
      </c>
      <c r="I31" s="3">
        <v>30</v>
      </c>
      <c r="J31" s="3" t="s">
        <v>283</v>
      </c>
    </row>
    <row r="32" spans="1:10" ht="15" customHeight="1" x14ac:dyDescent="0.2">
      <c r="A32" s="3" t="s">
        <v>284</v>
      </c>
      <c r="B32" s="3" t="s">
        <v>285</v>
      </c>
      <c r="C32" s="3" t="s">
        <v>261</v>
      </c>
      <c r="D32" s="3" t="s">
        <v>286</v>
      </c>
      <c r="E32" s="3">
        <v>49.445799999999998</v>
      </c>
      <c r="F32" s="3">
        <v>10.954800000000001</v>
      </c>
      <c r="G32" s="3" t="s">
        <v>263</v>
      </c>
      <c r="H32" s="3">
        <v>3</v>
      </c>
      <c r="I32" s="3">
        <v>30</v>
      </c>
      <c r="J32" s="3" t="s">
        <v>287</v>
      </c>
    </row>
    <row r="33" spans="1:10" ht="15" customHeight="1" x14ac:dyDescent="0.2">
      <c r="A33" s="3" t="s">
        <v>288</v>
      </c>
      <c r="B33" s="3" t="s">
        <v>289</v>
      </c>
      <c r="C33" s="3" t="s">
        <v>261</v>
      </c>
      <c r="D33" s="3" t="s">
        <v>290</v>
      </c>
      <c r="E33" s="3">
        <v>49.4193</v>
      </c>
      <c r="F33" s="3">
        <v>10.9815</v>
      </c>
      <c r="G33" s="3" t="s">
        <v>263</v>
      </c>
      <c r="H33" s="3">
        <v>5</v>
      </c>
      <c r="I33" s="3">
        <v>30</v>
      </c>
      <c r="J33" s="3" t="s">
        <v>291</v>
      </c>
    </row>
    <row r="34" spans="1:10" ht="15" customHeight="1" x14ac:dyDescent="0.2">
      <c r="A34" s="3" t="s">
        <v>292</v>
      </c>
      <c r="B34" s="3" t="s">
        <v>293</v>
      </c>
      <c r="C34" s="3" t="s">
        <v>294</v>
      </c>
      <c r="D34" s="3" t="s">
        <v>295</v>
      </c>
      <c r="E34" s="3">
        <v>50.1145</v>
      </c>
      <c r="F34" s="3">
        <v>8.6892999999999994</v>
      </c>
      <c r="G34" s="3" t="s">
        <v>296</v>
      </c>
      <c r="H34" s="3">
        <v>12</v>
      </c>
      <c r="I34" s="3">
        <v>30</v>
      </c>
      <c r="J34" s="3" t="s">
        <v>297</v>
      </c>
    </row>
    <row r="35" spans="1:10" ht="15" customHeight="1" x14ac:dyDescent="0.2">
      <c r="A35" s="3" t="s">
        <v>298</v>
      </c>
      <c r="B35" s="3" t="s">
        <v>299</v>
      </c>
      <c r="C35" s="3" t="s">
        <v>294</v>
      </c>
      <c r="D35" s="3" t="s">
        <v>300</v>
      </c>
      <c r="E35" s="3">
        <v>50.101199999999999</v>
      </c>
      <c r="F35" s="3">
        <v>8.6846999999999994</v>
      </c>
      <c r="G35" s="3" t="s">
        <v>296</v>
      </c>
      <c r="H35" s="3">
        <v>8</v>
      </c>
      <c r="I35" s="3">
        <v>30</v>
      </c>
      <c r="J35" s="3" t="s">
        <v>301</v>
      </c>
    </row>
    <row r="36" spans="1:10" ht="15" customHeight="1" x14ac:dyDescent="0.2">
      <c r="A36" s="3" t="s">
        <v>302</v>
      </c>
      <c r="B36" s="3" t="s">
        <v>303</v>
      </c>
      <c r="C36" s="3" t="s">
        <v>294</v>
      </c>
      <c r="D36" s="3" t="s">
        <v>304</v>
      </c>
      <c r="E36" s="3">
        <v>50.124099999999999</v>
      </c>
      <c r="F36" s="3">
        <v>8.7114999999999991</v>
      </c>
      <c r="G36" s="3" t="s">
        <v>296</v>
      </c>
      <c r="H36" s="3">
        <v>7</v>
      </c>
      <c r="I36" s="3">
        <v>30</v>
      </c>
      <c r="J36" s="3" t="s">
        <v>305</v>
      </c>
    </row>
    <row r="37" spans="1:10" ht="15" customHeight="1" x14ac:dyDescent="0.2">
      <c r="A37" s="3" t="s">
        <v>306</v>
      </c>
      <c r="B37" s="3" t="s">
        <v>307</v>
      </c>
      <c r="C37" s="3" t="s">
        <v>294</v>
      </c>
      <c r="D37" s="3" t="s">
        <v>308</v>
      </c>
      <c r="E37" s="3">
        <v>50.1128</v>
      </c>
      <c r="F37" s="3">
        <v>8.7188999999999997</v>
      </c>
      <c r="G37" s="3" t="s">
        <v>296</v>
      </c>
      <c r="H37" s="3">
        <v>6</v>
      </c>
      <c r="I37" s="3">
        <v>30</v>
      </c>
      <c r="J37" s="3" t="s">
        <v>309</v>
      </c>
    </row>
    <row r="38" spans="1:10" ht="15" customHeight="1" x14ac:dyDescent="0.2">
      <c r="A38" s="3" t="s">
        <v>310</v>
      </c>
      <c r="B38" s="3" t="s">
        <v>311</v>
      </c>
      <c r="C38" s="3" t="s">
        <v>294</v>
      </c>
      <c r="D38" s="3" t="s">
        <v>312</v>
      </c>
      <c r="E38" s="3">
        <v>50.104199999999999</v>
      </c>
      <c r="F38" s="3">
        <v>8.7628000000000004</v>
      </c>
      <c r="G38" s="3" t="s">
        <v>296</v>
      </c>
      <c r="H38" s="3">
        <v>5</v>
      </c>
      <c r="I38" s="3">
        <v>14</v>
      </c>
      <c r="J38" s="3" t="s">
        <v>313</v>
      </c>
    </row>
    <row r="39" spans="1:10" ht="15" customHeight="1" x14ac:dyDescent="0.2">
      <c r="A39" s="3" t="s">
        <v>314</v>
      </c>
      <c r="B39" s="3" t="s">
        <v>315</v>
      </c>
      <c r="C39" s="3" t="s">
        <v>294</v>
      </c>
      <c r="D39" s="3" t="s">
        <v>316</v>
      </c>
      <c r="E39" s="3">
        <v>50.125500000000002</v>
      </c>
      <c r="F39" s="3">
        <v>8.6540999999999997</v>
      </c>
      <c r="G39" s="3" t="s">
        <v>296</v>
      </c>
      <c r="H39" s="3">
        <v>9</v>
      </c>
      <c r="I39" s="3">
        <v>30</v>
      </c>
      <c r="J39" s="3" t="s">
        <v>317</v>
      </c>
    </row>
    <row r="40" spans="1:10" ht="15" customHeight="1" x14ac:dyDescent="0.2">
      <c r="A40" s="3" t="s">
        <v>318</v>
      </c>
      <c r="B40" s="3" t="s">
        <v>319</v>
      </c>
      <c r="C40" s="3" t="s">
        <v>294</v>
      </c>
      <c r="D40" s="3" t="s">
        <v>320</v>
      </c>
      <c r="E40" s="3">
        <v>50.133800000000001</v>
      </c>
      <c r="F40" s="3">
        <v>8.6928000000000001</v>
      </c>
      <c r="G40" s="3" t="s">
        <v>296</v>
      </c>
      <c r="H40" s="3">
        <v>6</v>
      </c>
      <c r="I40" s="3">
        <v>30</v>
      </c>
      <c r="J40" s="3" t="s">
        <v>321</v>
      </c>
    </row>
    <row r="41" spans="1:10" ht="15" customHeight="1" x14ac:dyDescent="0.2">
      <c r="A41" s="3" t="s">
        <v>322</v>
      </c>
      <c r="B41" s="3" t="s">
        <v>323</v>
      </c>
      <c r="C41" s="3" t="s">
        <v>294</v>
      </c>
      <c r="D41" s="3" t="s">
        <v>324</v>
      </c>
      <c r="E41" s="3">
        <v>49.871400000000001</v>
      </c>
      <c r="F41" s="3">
        <v>8.6511999999999993</v>
      </c>
      <c r="G41" s="3" t="s">
        <v>296</v>
      </c>
      <c r="H41" s="3">
        <v>5</v>
      </c>
      <c r="I41" s="3">
        <v>30</v>
      </c>
      <c r="J41" s="3" t="s">
        <v>325</v>
      </c>
    </row>
    <row r="42" spans="1:10" ht="15" customHeight="1" x14ac:dyDescent="0.2">
      <c r="A42" s="3" t="s">
        <v>326</v>
      </c>
      <c r="B42" s="3" t="s">
        <v>327</v>
      </c>
      <c r="C42" s="3" t="s">
        <v>328</v>
      </c>
      <c r="D42" s="3" t="s">
        <v>329</v>
      </c>
      <c r="E42" s="3">
        <v>48.366300000000003</v>
      </c>
      <c r="F42" s="3">
        <v>10.894500000000001</v>
      </c>
      <c r="G42" s="3" t="s">
        <v>330</v>
      </c>
      <c r="H42" s="3">
        <v>8</v>
      </c>
      <c r="I42" s="3">
        <v>30</v>
      </c>
      <c r="J42" s="3" t="s">
        <v>331</v>
      </c>
    </row>
    <row r="43" spans="1:10" ht="15" customHeight="1" x14ac:dyDescent="0.2">
      <c r="A43" s="3" t="s">
        <v>332</v>
      </c>
      <c r="B43" s="3" t="s">
        <v>333</v>
      </c>
      <c r="C43" s="3" t="s">
        <v>328</v>
      </c>
      <c r="D43" s="3" t="s">
        <v>334</v>
      </c>
      <c r="E43" s="3">
        <v>48.3752</v>
      </c>
      <c r="F43" s="3">
        <v>10.918799999999999</v>
      </c>
      <c r="G43" s="3" t="s">
        <v>330</v>
      </c>
      <c r="H43" s="3">
        <v>6</v>
      </c>
      <c r="I43" s="3">
        <v>30</v>
      </c>
      <c r="J43" s="3" t="s">
        <v>335</v>
      </c>
    </row>
    <row r="44" spans="1:10" ht="15" customHeight="1" x14ac:dyDescent="0.2">
      <c r="A44" s="3" t="s">
        <v>336</v>
      </c>
      <c r="B44" s="3" t="s">
        <v>337</v>
      </c>
      <c r="C44" s="3" t="s">
        <v>328</v>
      </c>
      <c r="D44" s="3" t="s">
        <v>338</v>
      </c>
      <c r="E44" s="3">
        <v>48.391199999999998</v>
      </c>
      <c r="F44" s="3">
        <v>10.9122</v>
      </c>
      <c r="G44" s="3" t="s">
        <v>330</v>
      </c>
      <c r="H44" s="3">
        <v>5</v>
      </c>
      <c r="I44" s="3">
        <v>30</v>
      </c>
      <c r="J44" s="3" t="s">
        <v>339</v>
      </c>
    </row>
    <row r="45" spans="1:10" ht="15" customHeight="1" x14ac:dyDescent="0.2">
      <c r="A45" s="3" t="s">
        <v>340</v>
      </c>
      <c r="B45" s="3" t="s">
        <v>341</v>
      </c>
      <c r="C45" s="3" t="s">
        <v>328</v>
      </c>
      <c r="D45" s="3" t="s">
        <v>342</v>
      </c>
      <c r="E45" s="3">
        <v>48.268799999999999</v>
      </c>
      <c r="F45" s="3">
        <v>10.831200000000001</v>
      </c>
      <c r="G45" s="3" t="s">
        <v>330</v>
      </c>
      <c r="H45" s="3">
        <v>4</v>
      </c>
      <c r="I45" s="3">
        <v>30</v>
      </c>
      <c r="J45" s="3" t="s">
        <v>343</v>
      </c>
    </row>
    <row r="46" spans="1:10" ht="15" customHeight="1" x14ac:dyDescent="0.2">
      <c r="A46" s="3" t="s">
        <v>344</v>
      </c>
      <c r="B46" s="3" t="s">
        <v>345</v>
      </c>
      <c r="C46" s="3" t="s">
        <v>328</v>
      </c>
      <c r="D46" s="3" t="s">
        <v>346</v>
      </c>
      <c r="E46" s="3">
        <v>48.268799999999999</v>
      </c>
      <c r="F46" s="3">
        <v>10.89</v>
      </c>
      <c r="G46" s="3" t="s">
        <v>330</v>
      </c>
      <c r="H46" s="3">
        <v>5</v>
      </c>
      <c r="I46" s="3">
        <v>14</v>
      </c>
      <c r="J46" s="3" t="s">
        <v>347</v>
      </c>
    </row>
    <row r="47" spans="1:10" ht="15" customHeight="1" x14ac:dyDescent="0.2">
      <c r="A47" s="3" t="s">
        <v>348</v>
      </c>
      <c r="B47" s="3" t="s">
        <v>349</v>
      </c>
      <c r="C47" s="3" t="s">
        <v>328</v>
      </c>
      <c r="D47" s="3" t="s">
        <v>350</v>
      </c>
      <c r="E47" s="3">
        <v>48.422800000000002</v>
      </c>
      <c r="F47" s="3">
        <v>10.876799999999999</v>
      </c>
      <c r="G47" s="3" t="s">
        <v>330</v>
      </c>
      <c r="H47" s="3">
        <v>4</v>
      </c>
      <c r="I47" s="3">
        <v>30</v>
      </c>
      <c r="J47" s="3" t="s">
        <v>351</v>
      </c>
    </row>
    <row r="48" spans="1:10" ht="15" customHeight="1" x14ac:dyDescent="0.2">
      <c r="A48" s="3" t="s">
        <v>352</v>
      </c>
      <c r="B48" s="3" t="s">
        <v>353</v>
      </c>
      <c r="C48" s="3" t="s">
        <v>328</v>
      </c>
      <c r="D48" s="3" t="s">
        <v>354</v>
      </c>
      <c r="E48" s="3">
        <v>48.364800000000002</v>
      </c>
      <c r="F48" s="3">
        <v>10.8558</v>
      </c>
      <c r="G48" s="3" t="s">
        <v>330</v>
      </c>
      <c r="H48" s="3">
        <v>5</v>
      </c>
      <c r="I48" s="3">
        <v>30</v>
      </c>
      <c r="J48" s="3" t="s">
        <v>355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9"/>
  <sheetViews>
    <sheetView zoomScaleNormal="100" workbookViewId="0">
      <selection activeCell="I15" sqref="I15"/>
    </sheetView>
  </sheetViews>
  <sheetFormatPr baseColWidth="10" defaultColWidth="8.6640625" defaultRowHeight="15" x14ac:dyDescent="0.2"/>
  <cols>
    <col min="1" max="1" width="12.33203125" bestFit="1" customWidth="1"/>
    <col min="2" max="2" width="42" customWidth="1"/>
    <col min="3" max="3" width="13.5" bestFit="1" customWidth="1"/>
    <col min="4" max="4" width="25.1640625" bestFit="1" customWidth="1"/>
    <col min="5" max="5" width="24" customWidth="1"/>
    <col min="6" max="6" width="14.6640625" bestFit="1" customWidth="1"/>
    <col min="7" max="7" width="14.33203125" bestFit="1" customWidth="1"/>
    <col min="8" max="8" width="20.1640625" bestFit="1" customWidth="1"/>
    <col min="9" max="9" width="18.5" bestFit="1" customWidth="1"/>
    <col min="10" max="10" width="19" customWidth="1"/>
  </cols>
  <sheetData>
    <row r="1" spans="1:10" ht="15" customHeight="1" x14ac:dyDescent="0.2">
      <c r="A1" s="1" t="s">
        <v>30</v>
      </c>
      <c r="B1" s="1" t="s">
        <v>31</v>
      </c>
      <c r="C1" s="1" t="s">
        <v>32</v>
      </c>
      <c r="D1" s="1" t="s">
        <v>674</v>
      </c>
      <c r="E1" s="10" t="s">
        <v>675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</row>
    <row r="2" spans="1:10" ht="15" customHeight="1" x14ac:dyDescent="0.2">
      <c r="A2" s="3" t="s">
        <v>39</v>
      </c>
      <c r="B2" s="3" t="s">
        <v>40</v>
      </c>
      <c r="C2" s="3" t="s">
        <v>41</v>
      </c>
      <c r="D2" s="4">
        <v>42.5</v>
      </c>
      <c r="E2" s="4">
        <v>68</v>
      </c>
      <c r="F2" s="5">
        <v>0.32</v>
      </c>
      <c r="G2" s="7">
        <v>0.8</v>
      </c>
      <c r="H2" s="3">
        <v>14</v>
      </c>
      <c r="I2" s="3">
        <v>5</v>
      </c>
      <c r="J2" s="3" t="s">
        <v>42</v>
      </c>
    </row>
    <row r="3" spans="1:10" ht="15" customHeight="1" x14ac:dyDescent="0.2">
      <c r="A3" s="3" t="s">
        <v>43</v>
      </c>
      <c r="B3" s="3" t="s">
        <v>44</v>
      </c>
      <c r="C3" s="3" t="s">
        <v>41</v>
      </c>
      <c r="D3" s="4">
        <v>28</v>
      </c>
      <c r="E3" s="4">
        <v>44</v>
      </c>
      <c r="F3" s="5">
        <v>0.21</v>
      </c>
      <c r="G3" s="7">
        <v>0.5</v>
      </c>
      <c r="H3" s="3">
        <v>14</v>
      </c>
      <c r="I3" s="3">
        <v>5</v>
      </c>
      <c r="J3" s="3" t="s">
        <v>42</v>
      </c>
    </row>
    <row r="4" spans="1:10" ht="15" customHeight="1" x14ac:dyDescent="0.2">
      <c r="A4" s="3" t="s">
        <v>45</v>
      </c>
      <c r="B4" s="3" t="s">
        <v>46</v>
      </c>
      <c r="C4" s="3" t="s">
        <v>41</v>
      </c>
      <c r="D4" s="4">
        <v>54</v>
      </c>
      <c r="E4" s="4">
        <v>89</v>
      </c>
      <c r="F4" s="5">
        <v>0.61</v>
      </c>
      <c r="G4" s="7">
        <v>1.2</v>
      </c>
      <c r="H4" s="3">
        <v>18</v>
      </c>
      <c r="I4" s="3">
        <v>3</v>
      </c>
      <c r="J4" s="3" t="s">
        <v>47</v>
      </c>
    </row>
    <row r="5" spans="1:10" ht="15" customHeight="1" x14ac:dyDescent="0.2">
      <c r="A5" s="3" t="s">
        <v>48</v>
      </c>
      <c r="B5" s="3" t="s">
        <v>49</v>
      </c>
      <c r="C5" s="3" t="s">
        <v>41</v>
      </c>
      <c r="D5" s="4">
        <v>18.5</v>
      </c>
      <c r="E5" s="4">
        <v>29</v>
      </c>
      <c r="F5" s="5">
        <v>0.3</v>
      </c>
      <c r="G5" s="7">
        <v>0.6</v>
      </c>
      <c r="H5" s="3">
        <v>10</v>
      </c>
      <c r="I5" s="3">
        <v>10</v>
      </c>
      <c r="J5" s="3" t="s">
        <v>50</v>
      </c>
    </row>
    <row r="6" spans="1:10" ht="15" customHeight="1" x14ac:dyDescent="0.2">
      <c r="A6" s="3" t="s">
        <v>51</v>
      </c>
      <c r="B6" s="3" t="s">
        <v>52</v>
      </c>
      <c r="C6" s="3" t="s">
        <v>41</v>
      </c>
      <c r="D6" s="4">
        <v>22</v>
      </c>
      <c r="E6" s="4">
        <v>35</v>
      </c>
      <c r="F6" s="5">
        <v>0.18</v>
      </c>
      <c r="G6" s="7">
        <v>0.4</v>
      </c>
      <c r="H6" s="3">
        <v>14</v>
      </c>
      <c r="I6" s="3">
        <v>5</v>
      </c>
      <c r="J6" s="3" t="s">
        <v>42</v>
      </c>
    </row>
    <row r="7" spans="1:10" ht="15" customHeight="1" x14ac:dyDescent="0.2">
      <c r="A7" s="3" t="s">
        <v>53</v>
      </c>
      <c r="B7" s="3" t="s">
        <v>54</v>
      </c>
      <c r="C7" s="3" t="s">
        <v>55</v>
      </c>
      <c r="D7" s="4">
        <v>310</v>
      </c>
      <c r="E7" s="4">
        <v>499</v>
      </c>
      <c r="F7" s="5">
        <v>2.9</v>
      </c>
      <c r="G7" s="7">
        <v>4.5</v>
      </c>
      <c r="H7" s="3">
        <v>21</v>
      </c>
      <c r="I7" s="3">
        <v>1</v>
      </c>
      <c r="J7" s="3" t="s">
        <v>56</v>
      </c>
    </row>
    <row r="8" spans="1:10" ht="15" customHeight="1" x14ac:dyDescent="0.2">
      <c r="A8" s="3" t="s">
        <v>57</v>
      </c>
      <c r="B8" s="3" t="s">
        <v>58</v>
      </c>
      <c r="C8" s="3" t="s">
        <v>55</v>
      </c>
      <c r="D8" s="4">
        <v>580</v>
      </c>
      <c r="E8" s="4">
        <v>890</v>
      </c>
      <c r="F8" s="5">
        <v>3</v>
      </c>
      <c r="G8" s="7">
        <v>5.2</v>
      </c>
      <c r="H8" s="3">
        <v>21</v>
      </c>
      <c r="I8" s="3">
        <v>1</v>
      </c>
      <c r="J8" s="3" t="s">
        <v>56</v>
      </c>
    </row>
    <row r="9" spans="1:10" ht="15" customHeight="1" x14ac:dyDescent="0.2">
      <c r="A9" s="3" t="s">
        <v>59</v>
      </c>
      <c r="B9" s="3" t="s">
        <v>60</v>
      </c>
      <c r="C9" s="3" t="s">
        <v>55</v>
      </c>
      <c r="D9" s="4">
        <v>65</v>
      </c>
      <c r="E9" s="4">
        <v>105</v>
      </c>
      <c r="F9" s="5">
        <v>0.14000000000000001</v>
      </c>
      <c r="G9" s="7">
        <v>0.4</v>
      </c>
      <c r="H9" s="3">
        <v>21</v>
      </c>
      <c r="I9" s="3">
        <v>2</v>
      </c>
      <c r="J9" s="3" t="s">
        <v>42</v>
      </c>
    </row>
    <row r="10" spans="1:10" ht="15" customHeight="1" x14ac:dyDescent="0.2">
      <c r="A10" s="3" t="s">
        <v>61</v>
      </c>
      <c r="B10" s="3" t="s">
        <v>62</v>
      </c>
      <c r="C10" s="3" t="s">
        <v>55</v>
      </c>
      <c r="D10" s="4">
        <v>48</v>
      </c>
      <c r="E10" s="4">
        <v>79</v>
      </c>
      <c r="F10" s="5">
        <v>0.19</v>
      </c>
      <c r="G10" s="7">
        <v>0.5</v>
      </c>
      <c r="H10" s="3">
        <v>12</v>
      </c>
      <c r="I10" s="3">
        <v>5</v>
      </c>
      <c r="J10" s="3" t="s">
        <v>63</v>
      </c>
    </row>
    <row r="11" spans="1:10" ht="15" customHeight="1" x14ac:dyDescent="0.2">
      <c r="A11" s="3" t="s">
        <v>64</v>
      </c>
      <c r="B11" s="3" t="s">
        <v>65</v>
      </c>
      <c r="C11" s="3" t="s">
        <v>55</v>
      </c>
      <c r="D11" s="4">
        <v>19</v>
      </c>
      <c r="E11" s="4">
        <v>32</v>
      </c>
      <c r="F11" s="5">
        <v>0.09</v>
      </c>
      <c r="G11" s="7">
        <v>0.2</v>
      </c>
      <c r="H11" s="3">
        <v>10</v>
      </c>
      <c r="I11" s="3">
        <v>10</v>
      </c>
      <c r="J11" s="3" t="s">
        <v>66</v>
      </c>
    </row>
    <row r="12" spans="1:10" ht="15" customHeight="1" x14ac:dyDescent="0.2">
      <c r="A12" s="3" t="s">
        <v>67</v>
      </c>
      <c r="B12" s="3" t="s">
        <v>68</v>
      </c>
      <c r="C12" s="3" t="s">
        <v>69</v>
      </c>
      <c r="D12" s="4">
        <v>95</v>
      </c>
      <c r="E12" s="4">
        <v>155</v>
      </c>
      <c r="F12" s="5">
        <v>0.62</v>
      </c>
      <c r="G12" s="7">
        <v>1.4</v>
      </c>
      <c r="H12" s="3">
        <v>16</v>
      </c>
      <c r="I12" s="3">
        <v>2</v>
      </c>
      <c r="J12" s="3" t="s">
        <v>70</v>
      </c>
    </row>
    <row r="13" spans="1:10" ht="15" customHeight="1" x14ac:dyDescent="0.2">
      <c r="A13" s="3" t="s">
        <v>71</v>
      </c>
      <c r="B13" s="3" t="s">
        <v>72</v>
      </c>
      <c r="C13" s="3" t="s">
        <v>69</v>
      </c>
      <c r="D13" s="4">
        <v>38</v>
      </c>
      <c r="E13" s="4">
        <v>62</v>
      </c>
      <c r="F13" s="5">
        <v>0.5</v>
      </c>
      <c r="G13" s="7">
        <v>1.1000000000000001</v>
      </c>
      <c r="H13" s="3">
        <v>12</v>
      </c>
      <c r="I13" s="3">
        <v>5</v>
      </c>
      <c r="J13" s="3" t="s">
        <v>73</v>
      </c>
    </row>
    <row r="14" spans="1:10" ht="15" customHeight="1" x14ac:dyDescent="0.2">
      <c r="A14" s="3" t="s">
        <v>74</v>
      </c>
      <c r="B14" s="3" t="s">
        <v>75</v>
      </c>
      <c r="C14" s="3" t="s">
        <v>69</v>
      </c>
      <c r="D14" s="4">
        <v>22</v>
      </c>
      <c r="E14" s="4">
        <v>36</v>
      </c>
      <c r="F14" s="5">
        <v>0.19</v>
      </c>
      <c r="G14" s="7">
        <v>0.3</v>
      </c>
      <c r="H14" s="3">
        <v>14</v>
      </c>
      <c r="I14" s="3">
        <v>5</v>
      </c>
      <c r="J14" s="3" t="s">
        <v>42</v>
      </c>
    </row>
    <row r="15" spans="1:10" ht="15" customHeight="1" x14ac:dyDescent="0.2">
      <c r="A15" s="3" t="s">
        <v>76</v>
      </c>
      <c r="B15" s="3" t="s">
        <v>77</v>
      </c>
      <c r="C15" s="3" t="s">
        <v>69</v>
      </c>
      <c r="D15" s="4">
        <v>8.5</v>
      </c>
      <c r="E15" s="4">
        <v>14</v>
      </c>
      <c r="F15" s="5">
        <v>0.08</v>
      </c>
      <c r="G15" s="7">
        <v>0.1</v>
      </c>
      <c r="H15" s="3">
        <v>7</v>
      </c>
      <c r="I15" s="3">
        <v>20</v>
      </c>
      <c r="J15" s="3" t="s">
        <v>78</v>
      </c>
    </row>
    <row r="16" spans="1:10" ht="15" customHeight="1" x14ac:dyDescent="0.2">
      <c r="A16" s="3" t="s">
        <v>79</v>
      </c>
      <c r="B16" s="3" t="s">
        <v>80</v>
      </c>
      <c r="C16" s="3" t="s">
        <v>81</v>
      </c>
      <c r="D16" s="4">
        <v>32</v>
      </c>
      <c r="E16" s="4">
        <v>52</v>
      </c>
      <c r="F16" s="5">
        <v>0.78</v>
      </c>
      <c r="G16" s="7">
        <v>2.8</v>
      </c>
      <c r="H16" s="3">
        <v>10</v>
      </c>
      <c r="I16" s="3">
        <v>4</v>
      </c>
      <c r="J16" s="3" t="s">
        <v>82</v>
      </c>
    </row>
    <row r="17" spans="1:10" ht="15" customHeight="1" x14ac:dyDescent="0.2">
      <c r="A17" s="3" t="s">
        <v>83</v>
      </c>
      <c r="B17" s="3" t="s">
        <v>84</v>
      </c>
      <c r="C17" s="3" t="s">
        <v>81</v>
      </c>
      <c r="D17" s="4">
        <v>38</v>
      </c>
      <c r="E17" s="4">
        <v>61</v>
      </c>
      <c r="F17" s="5">
        <v>0.82</v>
      </c>
      <c r="G17" s="7">
        <v>2.9</v>
      </c>
      <c r="H17" s="3">
        <v>10</v>
      </c>
      <c r="I17" s="3">
        <v>4</v>
      </c>
      <c r="J17" s="3" t="s">
        <v>82</v>
      </c>
    </row>
    <row r="18" spans="1:10" ht="15" customHeight="1" x14ac:dyDescent="0.2">
      <c r="A18" s="3" t="s">
        <v>85</v>
      </c>
      <c r="B18" s="3" t="s">
        <v>86</v>
      </c>
      <c r="C18" s="3" t="s">
        <v>81</v>
      </c>
      <c r="D18" s="4">
        <v>145</v>
      </c>
      <c r="E18" s="4">
        <v>230</v>
      </c>
      <c r="F18" s="5">
        <v>1.95</v>
      </c>
      <c r="G18" s="7">
        <v>5.5</v>
      </c>
      <c r="H18" s="3">
        <v>18</v>
      </c>
      <c r="I18" s="3">
        <v>1</v>
      </c>
      <c r="J18" s="3" t="s">
        <v>87</v>
      </c>
    </row>
    <row r="19" spans="1:10" ht="15" customHeight="1" x14ac:dyDescent="0.2">
      <c r="A19" s="3" t="s">
        <v>88</v>
      </c>
      <c r="B19" s="3" t="s">
        <v>89</v>
      </c>
      <c r="C19" s="3" t="s">
        <v>81</v>
      </c>
      <c r="D19" s="4">
        <v>175</v>
      </c>
      <c r="E19" s="4">
        <v>279</v>
      </c>
      <c r="F19" s="5">
        <v>1.7</v>
      </c>
      <c r="G19" s="7">
        <v>5.2</v>
      </c>
      <c r="H19" s="3">
        <v>21</v>
      </c>
      <c r="I19" s="3">
        <v>1</v>
      </c>
      <c r="J19" s="3" t="s">
        <v>90</v>
      </c>
    </row>
    <row r="20" spans="1:10" ht="15" customHeight="1" x14ac:dyDescent="0.2">
      <c r="A20" s="3" t="s">
        <v>91</v>
      </c>
      <c r="B20" s="3" t="s">
        <v>92</v>
      </c>
      <c r="C20" s="3" t="s">
        <v>93</v>
      </c>
      <c r="D20" s="4">
        <v>6</v>
      </c>
      <c r="E20" s="4">
        <v>11</v>
      </c>
      <c r="F20" s="5">
        <v>0.55000000000000004</v>
      </c>
      <c r="G20" s="7">
        <v>0.6</v>
      </c>
      <c r="H20" s="3">
        <v>7</v>
      </c>
      <c r="I20" s="3">
        <v>20</v>
      </c>
      <c r="J20" s="3" t="s">
        <v>94</v>
      </c>
    </row>
    <row r="21" spans="1:10" ht="15" customHeight="1" x14ac:dyDescent="0.2">
      <c r="A21" s="3" t="s">
        <v>95</v>
      </c>
      <c r="B21" s="3" t="s">
        <v>96</v>
      </c>
      <c r="C21" s="3" t="s">
        <v>93</v>
      </c>
      <c r="D21" s="4">
        <v>12</v>
      </c>
      <c r="E21" s="4">
        <v>19</v>
      </c>
      <c r="F21" s="5">
        <v>0.11</v>
      </c>
      <c r="G21" s="7">
        <v>0.3</v>
      </c>
      <c r="H21" s="3">
        <v>7</v>
      </c>
      <c r="I21" s="3">
        <v>10</v>
      </c>
      <c r="J21" s="3" t="s">
        <v>97</v>
      </c>
    </row>
    <row r="22" spans="1:10" ht="15" customHeight="1" x14ac:dyDescent="0.2">
      <c r="A22" s="3" t="s">
        <v>98</v>
      </c>
      <c r="B22" s="3" t="s">
        <v>99</v>
      </c>
      <c r="C22" s="3" t="s">
        <v>93</v>
      </c>
      <c r="D22" s="4">
        <v>7.5</v>
      </c>
      <c r="E22" s="4">
        <v>13</v>
      </c>
      <c r="F22" s="5">
        <v>0.06</v>
      </c>
      <c r="G22" s="7">
        <v>0.2</v>
      </c>
      <c r="H22" s="3">
        <v>7</v>
      </c>
      <c r="I22" s="3">
        <v>10</v>
      </c>
      <c r="J22" s="3" t="s">
        <v>100</v>
      </c>
    </row>
    <row r="23" spans="1:10" ht="15" customHeight="1" x14ac:dyDescent="0.2">
      <c r="A23" s="3" t="s">
        <v>101</v>
      </c>
      <c r="B23" s="3" t="s">
        <v>102</v>
      </c>
      <c r="C23" s="3" t="s">
        <v>103</v>
      </c>
      <c r="D23" s="4">
        <v>195</v>
      </c>
      <c r="E23" s="4">
        <v>310</v>
      </c>
      <c r="F23" s="5">
        <v>2.2999999999999998</v>
      </c>
      <c r="G23" s="7">
        <v>7</v>
      </c>
      <c r="H23" s="3">
        <v>25</v>
      </c>
      <c r="I23" s="3">
        <v>1</v>
      </c>
      <c r="J23" s="3" t="s">
        <v>47</v>
      </c>
    </row>
    <row r="24" spans="1:10" ht="15" customHeight="1" x14ac:dyDescent="0.2">
      <c r="A24" s="3" t="s">
        <v>104</v>
      </c>
      <c r="B24" s="3" t="s">
        <v>105</v>
      </c>
      <c r="C24" s="3" t="s">
        <v>103</v>
      </c>
      <c r="D24" s="4">
        <v>420</v>
      </c>
      <c r="E24" s="4">
        <v>660</v>
      </c>
      <c r="F24" s="5">
        <v>2.1</v>
      </c>
      <c r="G24" s="7">
        <v>6.8</v>
      </c>
      <c r="H24" s="3">
        <v>25</v>
      </c>
      <c r="I24" s="3">
        <v>1</v>
      </c>
      <c r="J24" s="3" t="s">
        <v>106</v>
      </c>
    </row>
    <row r="25" spans="1:10" ht="15" customHeight="1" x14ac:dyDescent="0.2">
      <c r="A25" s="3" t="s">
        <v>107</v>
      </c>
      <c r="B25" s="3" t="s">
        <v>108</v>
      </c>
      <c r="C25" s="3" t="s">
        <v>103</v>
      </c>
      <c r="D25" s="4">
        <v>88</v>
      </c>
      <c r="E25" s="4">
        <v>140</v>
      </c>
      <c r="F25" s="5">
        <v>2.4500000000000002</v>
      </c>
      <c r="G25" s="7">
        <v>7.2</v>
      </c>
      <c r="H25" s="3">
        <v>18</v>
      </c>
      <c r="I25" s="3">
        <v>2</v>
      </c>
      <c r="J25" s="3" t="s">
        <v>109</v>
      </c>
    </row>
    <row r="26" spans="1:10" ht="15" customHeight="1" x14ac:dyDescent="0.2">
      <c r="A26" s="3" t="s">
        <v>110</v>
      </c>
      <c r="B26" s="3" t="s">
        <v>111</v>
      </c>
      <c r="C26" s="3" t="s">
        <v>93</v>
      </c>
      <c r="D26" s="4">
        <v>14</v>
      </c>
      <c r="E26" s="4">
        <v>23</v>
      </c>
      <c r="F26" s="5">
        <v>0.08</v>
      </c>
      <c r="G26" s="7">
        <v>0.3</v>
      </c>
      <c r="H26" s="3">
        <v>7</v>
      </c>
      <c r="I26" s="3">
        <v>10</v>
      </c>
      <c r="J26" s="3" t="s">
        <v>112</v>
      </c>
    </row>
    <row r="27" spans="1:10" ht="15" customHeight="1" x14ac:dyDescent="0.2">
      <c r="A27" s="3" t="s">
        <v>113</v>
      </c>
      <c r="B27" s="3" t="s">
        <v>114</v>
      </c>
      <c r="C27" s="3" t="s">
        <v>93</v>
      </c>
      <c r="D27" s="4">
        <v>29</v>
      </c>
      <c r="E27" s="4">
        <v>47</v>
      </c>
      <c r="F27" s="5">
        <v>0.32</v>
      </c>
      <c r="G27" s="7">
        <v>1.2</v>
      </c>
      <c r="H27" s="3">
        <v>10</v>
      </c>
      <c r="I27" s="3">
        <v>5</v>
      </c>
      <c r="J27" s="3" t="s">
        <v>115</v>
      </c>
    </row>
    <row r="28" spans="1:10" ht="15" customHeight="1" x14ac:dyDescent="0.2">
      <c r="A28" s="3" t="s">
        <v>116</v>
      </c>
      <c r="B28" s="3" t="s">
        <v>117</v>
      </c>
      <c r="C28" s="3" t="s">
        <v>118</v>
      </c>
      <c r="D28" s="4">
        <v>72</v>
      </c>
      <c r="E28" s="4">
        <v>115</v>
      </c>
      <c r="F28" s="5">
        <v>0.21</v>
      </c>
      <c r="G28" s="7">
        <v>1.5</v>
      </c>
      <c r="H28" s="3">
        <v>14</v>
      </c>
      <c r="I28" s="3">
        <v>2</v>
      </c>
      <c r="J28" s="3" t="s">
        <v>119</v>
      </c>
    </row>
    <row r="29" spans="1:10" ht="15" customHeight="1" x14ac:dyDescent="0.2">
      <c r="A29" s="3" t="s">
        <v>120</v>
      </c>
      <c r="B29" s="3" t="s">
        <v>121</v>
      </c>
      <c r="C29" s="3" t="s">
        <v>118</v>
      </c>
      <c r="D29" s="4">
        <v>68</v>
      </c>
      <c r="E29" s="4">
        <v>109</v>
      </c>
      <c r="F29" s="5">
        <v>0.26</v>
      </c>
      <c r="G29" s="7">
        <v>0.9</v>
      </c>
      <c r="H29" s="3">
        <v>14</v>
      </c>
      <c r="I29" s="3">
        <v>2</v>
      </c>
      <c r="J29" s="3" t="s">
        <v>122</v>
      </c>
    </row>
    <row r="30" spans="1:10" ht="15" customHeight="1" x14ac:dyDescent="0.2">
      <c r="A30" s="3" t="s">
        <v>123</v>
      </c>
      <c r="B30" s="3" t="s">
        <v>124</v>
      </c>
      <c r="C30" s="3" t="s">
        <v>118</v>
      </c>
      <c r="D30" s="4">
        <v>42</v>
      </c>
      <c r="E30" s="4">
        <v>68</v>
      </c>
      <c r="F30" s="5">
        <v>0.12</v>
      </c>
      <c r="G30" s="7">
        <v>0.4</v>
      </c>
      <c r="H30" s="3">
        <v>14</v>
      </c>
      <c r="I30" s="3">
        <v>3</v>
      </c>
      <c r="J30" s="3" t="s">
        <v>125</v>
      </c>
    </row>
    <row r="31" spans="1:10" ht="15" customHeight="1" x14ac:dyDescent="0.2">
      <c r="A31" s="3" t="s">
        <v>126</v>
      </c>
      <c r="B31" s="3" t="s">
        <v>127</v>
      </c>
      <c r="C31" s="3" t="s">
        <v>41</v>
      </c>
      <c r="D31" s="4">
        <v>21</v>
      </c>
      <c r="E31" s="4">
        <v>34</v>
      </c>
      <c r="F31" s="5">
        <v>0.38</v>
      </c>
      <c r="G31" s="7">
        <v>0.8</v>
      </c>
      <c r="H31" s="3">
        <v>14</v>
      </c>
      <c r="I31" s="3">
        <v>5</v>
      </c>
      <c r="J31" s="3" t="s">
        <v>42</v>
      </c>
    </row>
    <row r="32" spans="1:10" ht="15" customHeight="1" x14ac:dyDescent="0.2">
      <c r="A32" s="3" t="s">
        <v>128</v>
      </c>
      <c r="B32" s="3" t="s">
        <v>129</v>
      </c>
      <c r="C32" s="3" t="s">
        <v>55</v>
      </c>
      <c r="D32" s="4">
        <v>34</v>
      </c>
      <c r="E32" s="4">
        <v>55</v>
      </c>
      <c r="F32" s="5">
        <v>0.19</v>
      </c>
      <c r="G32" s="7">
        <v>0.5</v>
      </c>
      <c r="H32" s="3">
        <v>14</v>
      </c>
      <c r="I32" s="3">
        <v>5</v>
      </c>
      <c r="J32" s="3" t="s">
        <v>42</v>
      </c>
    </row>
    <row r="33" spans="1:10" ht="15" customHeight="1" x14ac:dyDescent="0.2">
      <c r="A33" s="3" t="s">
        <v>130</v>
      </c>
      <c r="B33" s="3" t="s">
        <v>131</v>
      </c>
      <c r="C33" s="3" t="s">
        <v>55</v>
      </c>
      <c r="D33" s="4">
        <v>110</v>
      </c>
      <c r="E33" s="4">
        <v>178</v>
      </c>
      <c r="F33" s="5">
        <v>0.21</v>
      </c>
      <c r="G33" s="7">
        <v>0.6</v>
      </c>
      <c r="H33" s="3">
        <v>12</v>
      </c>
      <c r="I33" s="3">
        <v>2</v>
      </c>
      <c r="J33" s="3" t="s">
        <v>132</v>
      </c>
    </row>
    <row r="34" spans="1:10" ht="15" customHeight="1" x14ac:dyDescent="0.2">
      <c r="A34" s="3" t="s">
        <v>133</v>
      </c>
      <c r="B34" s="3" t="s">
        <v>134</v>
      </c>
      <c r="C34" s="3" t="s">
        <v>55</v>
      </c>
      <c r="D34" s="4">
        <v>78</v>
      </c>
      <c r="E34" s="4">
        <v>125</v>
      </c>
      <c r="F34" s="5">
        <v>0.16</v>
      </c>
      <c r="G34" s="7">
        <v>0.5</v>
      </c>
      <c r="H34" s="3">
        <v>21</v>
      </c>
      <c r="I34" s="3">
        <v>2</v>
      </c>
      <c r="J34" s="3" t="s">
        <v>56</v>
      </c>
    </row>
    <row r="35" spans="1:10" ht="15" customHeight="1" x14ac:dyDescent="0.2">
      <c r="A35" s="3" t="s">
        <v>135</v>
      </c>
      <c r="B35" s="3" t="s">
        <v>136</v>
      </c>
      <c r="C35" s="3" t="s">
        <v>93</v>
      </c>
      <c r="D35" s="4">
        <v>68</v>
      </c>
      <c r="E35" s="4">
        <v>109</v>
      </c>
      <c r="F35" s="5">
        <v>1.05</v>
      </c>
      <c r="G35" s="7">
        <v>1.8</v>
      </c>
      <c r="H35" s="3">
        <v>7</v>
      </c>
      <c r="I35" s="3">
        <v>3</v>
      </c>
      <c r="J35" s="3" t="s">
        <v>137</v>
      </c>
    </row>
    <row r="36" spans="1:10" ht="15" customHeight="1" x14ac:dyDescent="0.2">
      <c r="A36" s="3" t="s">
        <v>138</v>
      </c>
      <c r="B36" s="3" t="s">
        <v>139</v>
      </c>
      <c r="C36" s="3" t="s">
        <v>93</v>
      </c>
      <c r="D36" s="4">
        <v>18</v>
      </c>
      <c r="E36" s="4">
        <v>29</v>
      </c>
      <c r="F36" s="5">
        <v>0.38</v>
      </c>
      <c r="G36" s="7">
        <v>2.2000000000000002</v>
      </c>
      <c r="H36" s="3">
        <v>7</v>
      </c>
      <c r="I36" s="3">
        <v>5</v>
      </c>
      <c r="J36" s="3" t="s">
        <v>140</v>
      </c>
    </row>
    <row r="37" spans="1:10" ht="15" customHeight="1" x14ac:dyDescent="0.2">
      <c r="A37" s="3" t="s">
        <v>141</v>
      </c>
      <c r="B37" s="3" t="s">
        <v>142</v>
      </c>
      <c r="C37" s="3" t="s">
        <v>93</v>
      </c>
      <c r="D37" s="4">
        <v>22</v>
      </c>
      <c r="E37" s="4">
        <v>36</v>
      </c>
      <c r="F37" s="5">
        <v>0.14000000000000001</v>
      </c>
      <c r="G37" s="7">
        <v>1.1000000000000001</v>
      </c>
      <c r="H37" s="3">
        <v>10</v>
      </c>
      <c r="I37" s="3">
        <v>5</v>
      </c>
      <c r="J37" s="3" t="s">
        <v>143</v>
      </c>
    </row>
    <row r="38" spans="1:10" ht="15" customHeight="1" x14ac:dyDescent="0.2">
      <c r="A38" s="3" t="s">
        <v>144</v>
      </c>
      <c r="B38" s="3" t="s">
        <v>145</v>
      </c>
      <c r="C38" s="3" t="s">
        <v>69</v>
      </c>
      <c r="D38" s="4">
        <v>44</v>
      </c>
      <c r="E38" s="4">
        <v>72</v>
      </c>
      <c r="F38" s="5">
        <v>0.18</v>
      </c>
      <c r="G38" s="7">
        <v>0.5</v>
      </c>
      <c r="H38" s="3">
        <v>14</v>
      </c>
      <c r="I38" s="3">
        <v>4</v>
      </c>
      <c r="J38" s="3" t="s">
        <v>42</v>
      </c>
    </row>
    <row r="39" spans="1:10" ht="15" customHeight="1" x14ac:dyDescent="0.2">
      <c r="A39" s="3" t="s">
        <v>146</v>
      </c>
      <c r="B39" s="3" t="s">
        <v>147</v>
      </c>
      <c r="C39" s="3" t="s">
        <v>93</v>
      </c>
      <c r="D39" s="4">
        <v>35</v>
      </c>
      <c r="E39" s="4">
        <v>56</v>
      </c>
      <c r="F39" s="5">
        <v>0.42</v>
      </c>
      <c r="G39" s="7">
        <v>4.5</v>
      </c>
      <c r="H39" s="3">
        <v>10</v>
      </c>
      <c r="I39" s="3">
        <v>3</v>
      </c>
      <c r="J39" s="3" t="s">
        <v>148</v>
      </c>
    </row>
  </sheetData>
  <conditionalFormatting sqref="H2:H3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{4B0A448F-C867-2244-8CDA-A2CCD31AD0B5}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B0A448F-C867-2244-8CDA-A2CCD31AD0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H2:H39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0"/>
  <sheetViews>
    <sheetView zoomScaleNormal="100" workbookViewId="0">
      <selection activeCell="F44" sqref="F44"/>
    </sheetView>
  </sheetViews>
  <sheetFormatPr baseColWidth="10" defaultColWidth="8.6640625" defaultRowHeight="15" x14ac:dyDescent="0.2"/>
  <cols>
    <col min="1" max="1" width="12" customWidth="1"/>
    <col min="2" max="2" width="42" customWidth="1"/>
    <col min="3" max="3" width="23.1640625" bestFit="1" customWidth="1"/>
    <col min="4" max="4" width="23" bestFit="1" customWidth="1"/>
    <col min="5" max="5" width="21.6640625" bestFit="1" customWidth="1"/>
    <col min="6" max="6" width="22.1640625" bestFit="1" customWidth="1"/>
    <col min="7" max="7" width="22" customWidth="1"/>
    <col min="8" max="8" width="26" customWidth="1"/>
    <col min="9" max="9" width="24" customWidth="1"/>
    <col min="10" max="10" width="22.1640625" customWidth="1"/>
    <col min="11" max="11" width="24.1640625" customWidth="1"/>
    <col min="12" max="12" width="29.1640625" customWidth="1"/>
    <col min="13" max="13" width="52" customWidth="1"/>
  </cols>
  <sheetData>
    <row r="1" spans="1:13" ht="15" customHeight="1" x14ac:dyDescent="0.2">
      <c r="A1" s="1" t="s">
        <v>30</v>
      </c>
      <c r="B1" s="1" t="s">
        <v>31</v>
      </c>
      <c r="C1" s="1" t="s">
        <v>410</v>
      </c>
      <c r="D1" s="1" t="s">
        <v>411</v>
      </c>
      <c r="E1" s="1" t="s">
        <v>412</v>
      </c>
      <c r="F1" s="1" t="s">
        <v>413</v>
      </c>
      <c r="G1" s="1" t="s">
        <v>414</v>
      </c>
      <c r="H1" s="1" t="s">
        <v>415</v>
      </c>
      <c r="I1" s="1" t="s">
        <v>416</v>
      </c>
      <c r="J1" s="1" t="s">
        <v>417</v>
      </c>
      <c r="K1" s="1" t="s">
        <v>418</v>
      </c>
      <c r="L1" s="1" t="s">
        <v>419</v>
      </c>
      <c r="M1" s="1" t="s">
        <v>381</v>
      </c>
    </row>
    <row r="2" spans="1:13" ht="15" customHeight="1" x14ac:dyDescent="0.2">
      <c r="A2" s="3" t="s">
        <v>39</v>
      </c>
      <c r="B2" s="3" t="s">
        <v>40</v>
      </c>
      <c r="C2" s="3">
        <v>38</v>
      </c>
      <c r="D2" s="3">
        <v>45</v>
      </c>
      <c r="E2" s="3">
        <v>48</v>
      </c>
      <c r="F2" s="3">
        <v>30</v>
      </c>
      <c r="G2" s="5">
        <f>_xlfn.XLOOKUP(Tabelle6[[#This Row],[SKU_ID]],Tabelle8[SKU_ID],Tabelle8[Avg_Monthly],"-",0)</f>
        <v>27.833333333333332</v>
      </c>
      <c r="H2" s="4">
        <v>42.5</v>
      </c>
      <c r="I2" s="4">
        <v>1615</v>
      </c>
      <c r="J2" s="3">
        <v>0</v>
      </c>
      <c r="K2" s="3">
        <v>0</v>
      </c>
      <c r="L2" s="4">
        <v>0</v>
      </c>
      <c r="M2" s="3" t="s">
        <v>420</v>
      </c>
    </row>
    <row r="3" spans="1:13" ht="15" customHeight="1" x14ac:dyDescent="0.2">
      <c r="A3" s="3" t="s">
        <v>43</v>
      </c>
      <c r="B3" s="3" t="s">
        <v>44</v>
      </c>
      <c r="C3" s="3">
        <v>12</v>
      </c>
      <c r="D3" s="3">
        <v>23</v>
      </c>
      <c r="E3" s="3">
        <v>40</v>
      </c>
      <c r="F3" s="3">
        <v>14</v>
      </c>
      <c r="G3" s="5">
        <f>_xlfn.XLOOKUP(Tabelle6[[#This Row],[SKU_ID]],Tabelle8[SKU_ID],Tabelle8[Avg_Monthly],"-",0)</f>
        <v>18</v>
      </c>
      <c r="H3" s="4">
        <v>28</v>
      </c>
      <c r="I3" s="4">
        <v>336</v>
      </c>
      <c r="J3" s="3">
        <v>0</v>
      </c>
      <c r="K3" s="3">
        <v>0</v>
      </c>
      <c r="L3" s="4">
        <v>0</v>
      </c>
      <c r="M3" s="3"/>
    </row>
    <row r="4" spans="1:13" ht="15" customHeight="1" x14ac:dyDescent="0.2">
      <c r="A4" s="3" t="s">
        <v>45</v>
      </c>
      <c r="B4" s="3" t="s">
        <v>46</v>
      </c>
      <c r="C4" s="3">
        <v>17</v>
      </c>
      <c r="D4" s="3">
        <v>20</v>
      </c>
      <c r="E4" s="3">
        <v>34</v>
      </c>
      <c r="F4" s="3">
        <v>10</v>
      </c>
      <c r="G4" s="5">
        <f>_xlfn.XLOOKUP(Tabelle6[[#This Row],[SKU_ID]],Tabelle8[SKU_ID],Tabelle8[Avg_Monthly],"-",0)</f>
        <v>14.166666666666666</v>
      </c>
      <c r="H4" s="4">
        <v>54</v>
      </c>
      <c r="I4" s="4">
        <v>918</v>
      </c>
      <c r="J4" s="3">
        <v>0</v>
      </c>
      <c r="K4" s="3">
        <v>0</v>
      </c>
      <c r="L4" s="4">
        <v>0</v>
      </c>
      <c r="M4" s="3" t="s">
        <v>421</v>
      </c>
    </row>
    <row r="5" spans="1:13" ht="15" customHeight="1" x14ac:dyDescent="0.2">
      <c r="A5" s="3" t="s">
        <v>48</v>
      </c>
      <c r="B5" s="3" t="s">
        <v>49</v>
      </c>
      <c r="C5" s="3">
        <v>92</v>
      </c>
      <c r="D5" s="3">
        <v>38</v>
      </c>
      <c r="E5" s="3">
        <v>69</v>
      </c>
      <c r="F5" s="3">
        <v>23</v>
      </c>
      <c r="G5" s="5">
        <f>_xlfn.XLOOKUP(Tabelle6[[#This Row],[SKU_ID]],Tabelle8[SKU_ID],Tabelle8[Avg_Monthly],"-",0)</f>
        <v>42.666666666666664</v>
      </c>
      <c r="H5" s="4">
        <v>18.5</v>
      </c>
      <c r="I5" s="4">
        <v>1702</v>
      </c>
      <c r="J5" s="3">
        <v>0</v>
      </c>
      <c r="K5" s="3">
        <v>0</v>
      </c>
      <c r="L5" s="4">
        <v>0</v>
      </c>
      <c r="M5" s="3" t="s">
        <v>422</v>
      </c>
    </row>
    <row r="6" spans="1:13" ht="15" customHeight="1" x14ac:dyDescent="0.2">
      <c r="A6" s="3" t="s">
        <v>51</v>
      </c>
      <c r="B6" s="3" t="s">
        <v>52</v>
      </c>
      <c r="C6" s="3">
        <v>16</v>
      </c>
      <c r="D6" s="3">
        <v>9</v>
      </c>
      <c r="E6" s="3">
        <v>39</v>
      </c>
      <c r="F6" s="3">
        <v>3</v>
      </c>
      <c r="G6" s="5">
        <f>_xlfn.XLOOKUP(Tabelle6[[#This Row],[SKU_ID]],Tabelle8[SKU_ID],Tabelle8[Avg_Monthly],"-",0)</f>
        <v>12.5</v>
      </c>
      <c r="H6" s="4">
        <v>22</v>
      </c>
      <c r="I6" s="4">
        <v>352</v>
      </c>
      <c r="J6" s="3">
        <v>0</v>
      </c>
      <c r="K6" s="3">
        <v>0</v>
      </c>
      <c r="L6" s="4">
        <v>0</v>
      </c>
      <c r="M6" s="3"/>
    </row>
    <row r="7" spans="1:13" ht="15" customHeight="1" x14ac:dyDescent="0.2">
      <c r="A7" s="3" t="s">
        <v>53</v>
      </c>
      <c r="B7" s="3" t="s">
        <v>54</v>
      </c>
      <c r="C7" s="3">
        <v>6</v>
      </c>
      <c r="D7" s="3">
        <v>10</v>
      </c>
      <c r="E7" s="3">
        <v>15</v>
      </c>
      <c r="F7" s="3">
        <v>7</v>
      </c>
      <c r="G7" s="5">
        <f>_xlfn.XLOOKUP(Tabelle6[[#This Row],[SKU_ID]],Tabelle8[SKU_ID],Tabelle8[Avg_Monthly],"-",0)</f>
        <v>4.333333333333333</v>
      </c>
      <c r="H7" s="4">
        <v>310</v>
      </c>
      <c r="I7" s="4">
        <v>1860</v>
      </c>
      <c r="J7" s="3">
        <v>1</v>
      </c>
      <c r="K7" s="3">
        <v>1</v>
      </c>
      <c r="L7" s="4">
        <v>157.44</v>
      </c>
      <c r="M7" s="3" t="s">
        <v>423</v>
      </c>
    </row>
    <row r="8" spans="1:13" ht="15" customHeight="1" x14ac:dyDescent="0.2">
      <c r="A8" s="3" t="s">
        <v>57</v>
      </c>
      <c r="B8" s="3" t="s">
        <v>58</v>
      </c>
      <c r="C8" s="3">
        <v>5</v>
      </c>
      <c r="D8" s="3">
        <v>3</v>
      </c>
      <c r="E8" s="3">
        <v>2</v>
      </c>
      <c r="F8" s="3">
        <v>2</v>
      </c>
      <c r="G8" s="5">
        <f>_xlfn.XLOOKUP(Tabelle6[[#This Row],[SKU_ID]],Tabelle8[SKU_ID],Tabelle8[Avg_Monthly],"-",0)</f>
        <v>1.6666666666666667</v>
      </c>
      <c r="H8" s="4">
        <v>580</v>
      </c>
      <c r="I8" s="4">
        <v>2900</v>
      </c>
      <c r="J8" s="3">
        <v>4</v>
      </c>
      <c r="K8" s="3">
        <v>2</v>
      </c>
      <c r="L8" s="4">
        <v>91.59</v>
      </c>
      <c r="M8" s="3" t="s">
        <v>423</v>
      </c>
    </row>
    <row r="9" spans="1:13" ht="15" customHeight="1" x14ac:dyDescent="0.2">
      <c r="A9" s="3" t="s">
        <v>59</v>
      </c>
      <c r="B9" s="3" t="s">
        <v>60</v>
      </c>
      <c r="C9" s="3">
        <v>10</v>
      </c>
      <c r="D9" s="3">
        <v>14</v>
      </c>
      <c r="E9" s="3">
        <v>30</v>
      </c>
      <c r="F9" s="3">
        <v>7</v>
      </c>
      <c r="G9" s="5">
        <f>_xlfn.XLOOKUP(Tabelle6[[#This Row],[SKU_ID]],Tabelle8[SKU_ID],Tabelle8[Avg_Monthly],"-",0)</f>
        <v>9.75</v>
      </c>
      <c r="H9" s="4">
        <v>65</v>
      </c>
      <c r="I9" s="4">
        <v>650</v>
      </c>
      <c r="J9" s="3">
        <v>2</v>
      </c>
      <c r="K9" s="3">
        <v>1</v>
      </c>
      <c r="L9" s="4">
        <v>74.849999999999994</v>
      </c>
      <c r="M9" s="3"/>
    </row>
    <row r="10" spans="1:13" ht="15" customHeight="1" x14ac:dyDescent="0.2">
      <c r="A10" s="3" t="s">
        <v>61</v>
      </c>
      <c r="B10" s="3" t="s">
        <v>62</v>
      </c>
      <c r="C10" s="3">
        <v>40</v>
      </c>
      <c r="D10" s="3">
        <v>19</v>
      </c>
      <c r="E10" s="3">
        <v>24</v>
      </c>
      <c r="F10" s="3">
        <v>13</v>
      </c>
      <c r="G10" s="5">
        <f>_xlfn.XLOOKUP(Tabelle6[[#This Row],[SKU_ID]],Tabelle8[SKU_ID],Tabelle8[Avg_Monthly],"-",0)</f>
        <v>15.333333333333334</v>
      </c>
      <c r="H10" s="4">
        <v>48</v>
      </c>
      <c r="I10" s="4">
        <v>1920</v>
      </c>
      <c r="J10" s="3">
        <v>1</v>
      </c>
      <c r="K10" s="3">
        <v>0</v>
      </c>
      <c r="L10" s="4">
        <v>0</v>
      </c>
      <c r="M10" s="3"/>
    </row>
    <row r="11" spans="1:13" ht="15" customHeight="1" x14ac:dyDescent="0.2">
      <c r="A11" s="3" t="s">
        <v>64</v>
      </c>
      <c r="B11" s="3" t="s">
        <v>65</v>
      </c>
      <c r="C11" s="3">
        <v>12</v>
      </c>
      <c r="D11" s="3">
        <v>7</v>
      </c>
      <c r="E11" s="3">
        <v>36</v>
      </c>
      <c r="F11" s="3">
        <v>3</v>
      </c>
      <c r="G11" s="5">
        <f>_xlfn.XLOOKUP(Tabelle6[[#This Row],[SKU_ID]],Tabelle8[SKU_ID],Tabelle8[Avg_Monthly],"-",0)</f>
        <v>10.916666666666666</v>
      </c>
      <c r="H11" s="4">
        <v>19</v>
      </c>
      <c r="I11" s="4">
        <v>228</v>
      </c>
      <c r="J11" s="3">
        <v>1</v>
      </c>
      <c r="K11" s="3">
        <v>0</v>
      </c>
      <c r="L11" s="4">
        <v>0</v>
      </c>
      <c r="M11" s="3"/>
    </row>
    <row r="12" spans="1:13" ht="15" customHeight="1" x14ac:dyDescent="0.2">
      <c r="A12" s="3" t="s">
        <v>67</v>
      </c>
      <c r="B12" s="3" t="s">
        <v>68</v>
      </c>
      <c r="C12" s="3">
        <v>11</v>
      </c>
      <c r="D12" s="3">
        <v>7</v>
      </c>
      <c r="E12" s="3">
        <v>18</v>
      </c>
      <c r="F12" s="3">
        <v>2</v>
      </c>
      <c r="G12" s="5">
        <f>_xlfn.XLOOKUP(Tabelle6[[#This Row],[SKU_ID]],Tabelle8[SKU_ID],Tabelle8[Avg_Monthly],"-",0)</f>
        <v>8.1666666666666661</v>
      </c>
      <c r="H12" s="4">
        <v>95</v>
      </c>
      <c r="I12" s="4">
        <v>1045</v>
      </c>
      <c r="J12" s="3">
        <v>4</v>
      </c>
      <c r="K12" s="3">
        <v>3</v>
      </c>
      <c r="L12" s="4">
        <v>201.84</v>
      </c>
      <c r="M12" s="3" t="s">
        <v>424</v>
      </c>
    </row>
    <row r="13" spans="1:13" ht="15" customHeight="1" x14ac:dyDescent="0.2">
      <c r="A13" s="3" t="s">
        <v>71</v>
      </c>
      <c r="B13" s="3" t="s">
        <v>72</v>
      </c>
      <c r="C13" s="3">
        <v>16</v>
      </c>
      <c r="D13" s="3">
        <v>20</v>
      </c>
      <c r="E13" s="3">
        <v>20</v>
      </c>
      <c r="F13" s="3">
        <v>12</v>
      </c>
      <c r="G13" s="5">
        <f>_xlfn.XLOOKUP(Tabelle6[[#This Row],[SKU_ID]],Tabelle8[SKU_ID],Tabelle8[Avg_Monthly],"-",0)</f>
        <v>18.833333333333332</v>
      </c>
      <c r="H13" s="4">
        <v>38</v>
      </c>
      <c r="I13" s="4">
        <v>608</v>
      </c>
      <c r="J13" s="3">
        <v>1</v>
      </c>
      <c r="K13" s="3">
        <v>0</v>
      </c>
      <c r="L13" s="4">
        <v>0</v>
      </c>
      <c r="M13" s="3"/>
    </row>
    <row r="14" spans="1:13" ht="15" customHeight="1" x14ac:dyDescent="0.2">
      <c r="A14" s="3" t="s">
        <v>74</v>
      </c>
      <c r="B14" s="3" t="s">
        <v>75</v>
      </c>
      <c r="C14" s="3">
        <v>36</v>
      </c>
      <c r="D14" s="3">
        <v>33</v>
      </c>
      <c r="E14" s="3">
        <v>24</v>
      </c>
      <c r="F14" s="3">
        <v>22</v>
      </c>
      <c r="G14" s="5">
        <f>_xlfn.XLOOKUP(Tabelle6[[#This Row],[SKU_ID]],Tabelle8[SKU_ID],Tabelle8[Avg_Monthly],"-",0)</f>
        <v>22.083333333333332</v>
      </c>
      <c r="H14" s="4">
        <v>22</v>
      </c>
      <c r="I14" s="4">
        <v>792</v>
      </c>
      <c r="J14" s="3">
        <v>0</v>
      </c>
      <c r="K14" s="3">
        <v>0</v>
      </c>
      <c r="L14" s="4">
        <v>0</v>
      </c>
      <c r="M14" s="3"/>
    </row>
    <row r="15" spans="1:13" ht="15" customHeight="1" x14ac:dyDescent="0.2">
      <c r="A15" s="3" t="s">
        <v>76</v>
      </c>
      <c r="B15" s="3" t="s">
        <v>77</v>
      </c>
      <c r="C15" s="3">
        <v>46</v>
      </c>
      <c r="D15" s="3">
        <v>34</v>
      </c>
      <c r="E15" s="3">
        <v>174</v>
      </c>
      <c r="F15" s="3">
        <v>20</v>
      </c>
      <c r="G15" s="5">
        <f>_xlfn.XLOOKUP(Tabelle6[[#This Row],[SKU_ID]],Tabelle8[SKU_ID],Tabelle8[Avg_Monthly],"-",0)</f>
        <v>58.25</v>
      </c>
      <c r="H15" s="4">
        <v>8.5</v>
      </c>
      <c r="I15" s="4">
        <v>391</v>
      </c>
      <c r="J15" s="3">
        <v>0</v>
      </c>
      <c r="K15" s="3">
        <v>0</v>
      </c>
      <c r="L15" s="4">
        <v>0</v>
      </c>
      <c r="M15" s="18" t="s">
        <v>425</v>
      </c>
    </row>
    <row r="16" spans="1:13" ht="15" customHeight="1" x14ac:dyDescent="0.2">
      <c r="A16" s="3" t="s">
        <v>79</v>
      </c>
      <c r="B16" s="3" t="s">
        <v>80</v>
      </c>
      <c r="C16" s="3">
        <v>28</v>
      </c>
      <c r="D16" s="3">
        <v>14</v>
      </c>
      <c r="E16" s="3">
        <v>84</v>
      </c>
      <c r="F16" s="3">
        <v>5</v>
      </c>
      <c r="G16" s="5">
        <f>_xlfn.XLOOKUP(Tabelle6[[#This Row],[SKU_ID]],Tabelle8[SKU_ID],Tabelle8[Avg_Monthly],"-",0)</f>
        <v>24.083333333333332</v>
      </c>
      <c r="H16" s="4">
        <v>32</v>
      </c>
      <c r="I16" s="4">
        <v>896</v>
      </c>
      <c r="J16" s="3">
        <v>3</v>
      </c>
      <c r="K16" s="3">
        <v>1</v>
      </c>
      <c r="L16" s="4">
        <v>106.38</v>
      </c>
      <c r="M16" s="18" t="s">
        <v>426</v>
      </c>
    </row>
    <row r="17" spans="1:13" ht="15" customHeight="1" x14ac:dyDescent="0.2">
      <c r="A17" s="3" t="s">
        <v>83</v>
      </c>
      <c r="B17" s="3" t="s">
        <v>84</v>
      </c>
      <c r="C17" s="3">
        <v>58</v>
      </c>
      <c r="D17" s="3">
        <v>16</v>
      </c>
      <c r="E17" s="3">
        <v>69</v>
      </c>
      <c r="F17" s="3">
        <v>8</v>
      </c>
      <c r="G17" s="5">
        <f>_xlfn.XLOOKUP(Tabelle6[[#This Row],[SKU_ID]],Tabelle8[SKU_ID],Tabelle8[Avg_Monthly],"-",0)</f>
        <v>20</v>
      </c>
      <c r="H17" s="4">
        <v>38</v>
      </c>
      <c r="I17" s="4">
        <v>2204</v>
      </c>
      <c r="J17" s="3">
        <v>3</v>
      </c>
      <c r="K17" s="3">
        <v>2</v>
      </c>
      <c r="L17" s="4">
        <v>158.11000000000001</v>
      </c>
      <c r="M17" s="3" t="s">
        <v>426</v>
      </c>
    </row>
    <row r="18" spans="1:13" ht="15" customHeight="1" x14ac:dyDescent="0.2">
      <c r="A18" s="3" t="s">
        <v>85</v>
      </c>
      <c r="B18" s="3" t="s">
        <v>86</v>
      </c>
      <c r="C18" s="3">
        <v>5</v>
      </c>
      <c r="D18" s="3">
        <v>3</v>
      </c>
      <c r="E18" s="3">
        <v>4</v>
      </c>
      <c r="F18" s="3">
        <v>1</v>
      </c>
      <c r="G18" s="5">
        <f>_xlfn.XLOOKUP(Tabelle6[[#This Row],[SKU_ID]],Tabelle8[SKU_ID],Tabelle8[Avg_Monthly],"-",0)</f>
        <v>3.6666666666666665</v>
      </c>
      <c r="H18" s="4">
        <v>145</v>
      </c>
      <c r="I18" s="4">
        <v>725</v>
      </c>
      <c r="J18" s="3">
        <v>0</v>
      </c>
      <c r="K18" s="3">
        <v>0</v>
      </c>
      <c r="L18" s="4">
        <v>0</v>
      </c>
      <c r="M18" s="18" t="s">
        <v>427</v>
      </c>
    </row>
    <row r="19" spans="1:13" ht="15" customHeight="1" x14ac:dyDescent="0.2">
      <c r="A19" s="3" t="s">
        <v>88</v>
      </c>
      <c r="B19" s="3" t="s">
        <v>89</v>
      </c>
      <c r="C19" s="3">
        <v>5</v>
      </c>
      <c r="D19" s="3">
        <v>2</v>
      </c>
      <c r="E19" s="3">
        <v>2</v>
      </c>
      <c r="F19" s="3">
        <v>1</v>
      </c>
      <c r="G19" s="5">
        <f>_xlfn.XLOOKUP(Tabelle6[[#This Row],[SKU_ID]],Tabelle8[SKU_ID],Tabelle8[Avg_Monthly],"-",0)</f>
        <v>2.0833333333333335</v>
      </c>
      <c r="H19" s="4">
        <v>175</v>
      </c>
      <c r="I19" s="4">
        <v>875</v>
      </c>
      <c r="J19" s="3">
        <v>0</v>
      </c>
      <c r="K19" s="3">
        <v>0</v>
      </c>
      <c r="L19" s="4">
        <v>0</v>
      </c>
      <c r="M19" s="3" t="s">
        <v>427</v>
      </c>
    </row>
    <row r="20" spans="1:13" ht="15" customHeight="1" x14ac:dyDescent="0.2">
      <c r="A20" s="3" t="s">
        <v>91</v>
      </c>
      <c r="B20" s="3" t="s">
        <v>92</v>
      </c>
      <c r="C20" s="3">
        <v>93</v>
      </c>
      <c r="D20" s="3">
        <v>21</v>
      </c>
      <c r="E20" s="3">
        <v>93</v>
      </c>
      <c r="F20" s="3">
        <v>7</v>
      </c>
      <c r="G20" s="5">
        <f>_xlfn.XLOOKUP(Tabelle6[[#This Row],[SKU_ID]],Tabelle8[SKU_ID],Tabelle8[Avg_Monthly],"-",0)</f>
        <v>59.083333333333336</v>
      </c>
      <c r="H20" s="4">
        <v>6</v>
      </c>
      <c r="I20" s="4">
        <v>558</v>
      </c>
      <c r="J20" s="3">
        <v>0</v>
      </c>
      <c r="K20" s="3">
        <v>0</v>
      </c>
      <c r="L20" s="4">
        <v>0</v>
      </c>
      <c r="M20" s="18" t="s">
        <v>428</v>
      </c>
    </row>
    <row r="21" spans="1:13" ht="15" customHeight="1" x14ac:dyDescent="0.2">
      <c r="A21" s="3" t="s">
        <v>95</v>
      </c>
      <c r="B21" s="3" t="s">
        <v>96</v>
      </c>
      <c r="C21" s="3">
        <v>35</v>
      </c>
      <c r="D21" s="3">
        <v>12</v>
      </c>
      <c r="E21" s="3">
        <v>29</v>
      </c>
      <c r="F21" s="3">
        <v>5</v>
      </c>
      <c r="G21" s="5">
        <f>_xlfn.XLOOKUP(Tabelle6[[#This Row],[SKU_ID]],Tabelle8[SKU_ID],Tabelle8[Avg_Monthly],"-",0)</f>
        <v>28.25</v>
      </c>
      <c r="H21" s="4">
        <v>12</v>
      </c>
      <c r="I21" s="4">
        <v>420</v>
      </c>
      <c r="J21" s="3">
        <v>0</v>
      </c>
      <c r="K21" s="3">
        <v>0</v>
      </c>
      <c r="L21" s="4">
        <v>0</v>
      </c>
      <c r="M21" s="3"/>
    </row>
    <row r="22" spans="1:13" ht="15" customHeight="1" x14ac:dyDescent="0.2">
      <c r="A22" s="3" t="s">
        <v>98</v>
      </c>
      <c r="B22" s="3" t="s">
        <v>99</v>
      </c>
      <c r="C22" s="3">
        <v>46</v>
      </c>
      <c r="D22" s="3">
        <v>13</v>
      </c>
      <c r="E22" s="3">
        <v>46</v>
      </c>
      <c r="F22" s="3">
        <v>8</v>
      </c>
      <c r="G22" s="5">
        <f>_xlfn.XLOOKUP(Tabelle6[[#This Row],[SKU_ID]],Tabelle8[SKU_ID],Tabelle8[Avg_Monthly],"-",0)</f>
        <v>22</v>
      </c>
      <c r="H22" s="4">
        <v>7.5</v>
      </c>
      <c r="I22" s="4">
        <v>345</v>
      </c>
      <c r="J22" s="3">
        <v>0</v>
      </c>
      <c r="K22" s="3">
        <v>0</v>
      </c>
      <c r="L22" s="4">
        <v>0</v>
      </c>
      <c r="M22" s="3"/>
    </row>
    <row r="23" spans="1:13" ht="15" customHeight="1" x14ac:dyDescent="0.2">
      <c r="A23" s="3" t="s">
        <v>101</v>
      </c>
      <c r="B23" s="3" t="s">
        <v>102</v>
      </c>
      <c r="C23" s="3">
        <v>9</v>
      </c>
      <c r="D23" s="3">
        <v>9</v>
      </c>
      <c r="E23" s="3">
        <v>6</v>
      </c>
      <c r="F23" s="3">
        <v>4</v>
      </c>
      <c r="G23" s="5">
        <f>_xlfn.XLOOKUP(Tabelle6[[#This Row],[SKU_ID]],Tabelle8[SKU_ID],Tabelle8[Avg_Monthly],"-",0)</f>
        <v>6.333333333333333</v>
      </c>
      <c r="H23" s="4">
        <v>195</v>
      </c>
      <c r="I23" s="4">
        <v>1755</v>
      </c>
      <c r="J23" s="3">
        <v>2</v>
      </c>
      <c r="K23" s="3">
        <v>2</v>
      </c>
      <c r="L23" s="4">
        <v>119.19</v>
      </c>
      <c r="M23" s="18" t="s">
        <v>429</v>
      </c>
    </row>
    <row r="24" spans="1:13" ht="15" customHeight="1" x14ac:dyDescent="0.2">
      <c r="A24" s="3" t="s">
        <v>104</v>
      </c>
      <c r="B24" s="3" t="s">
        <v>105</v>
      </c>
      <c r="C24" s="3">
        <v>2</v>
      </c>
      <c r="D24" s="3">
        <v>3</v>
      </c>
      <c r="E24" s="3">
        <v>6</v>
      </c>
      <c r="F24" s="3">
        <v>1</v>
      </c>
      <c r="G24" s="5">
        <f>_xlfn.XLOOKUP(Tabelle6[[#This Row],[SKU_ID]],Tabelle8[SKU_ID],Tabelle8[Avg_Monthly],"-",0)</f>
        <v>1.4166666666666667</v>
      </c>
      <c r="H24" s="4">
        <v>420</v>
      </c>
      <c r="I24" s="4">
        <v>840</v>
      </c>
      <c r="J24" s="3">
        <v>4</v>
      </c>
      <c r="K24" s="3">
        <v>3</v>
      </c>
      <c r="L24" s="4">
        <v>215.32</v>
      </c>
      <c r="M24" s="18" t="s">
        <v>430</v>
      </c>
    </row>
    <row r="25" spans="1:13" ht="15" customHeight="1" x14ac:dyDescent="0.2">
      <c r="A25" s="3" t="s">
        <v>107</v>
      </c>
      <c r="B25" s="3" t="s">
        <v>108</v>
      </c>
      <c r="C25" s="3">
        <v>16</v>
      </c>
      <c r="D25" s="3">
        <v>15</v>
      </c>
      <c r="E25" s="3">
        <v>12</v>
      </c>
      <c r="F25" s="3">
        <v>10</v>
      </c>
      <c r="G25" s="5">
        <f>_xlfn.XLOOKUP(Tabelle6[[#This Row],[SKU_ID]],Tabelle8[SKU_ID],Tabelle8[Avg_Monthly],"-",0)</f>
        <v>6.916666666666667</v>
      </c>
      <c r="H25" s="4">
        <v>88</v>
      </c>
      <c r="I25" s="4">
        <v>1408</v>
      </c>
      <c r="J25" s="3">
        <v>0</v>
      </c>
      <c r="K25" s="3">
        <v>1</v>
      </c>
      <c r="L25" s="4">
        <v>76.349999999999994</v>
      </c>
      <c r="M25" s="3"/>
    </row>
    <row r="26" spans="1:13" ht="15" customHeight="1" x14ac:dyDescent="0.2">
      <c r="A26" s="3" t="s">
        <v>110</v>
      </c>
      <c r="B26" s="3" t="s">
        <v>111</v>
      </c>
      <c r="C26" s="3">
        <v>65</v>
      </c>
      <c r="D26" s="3">
        <v>18</v>
      </c>
      <c r="E26" s="3">
        <v>26</v>
      </c>
      <c r="F26" s="3">
        <v>12</v>
      </c>
      <c r="G26" s="5">
        <f>_xlfn.XLOOKUP(Tabelle6[[#This Row],[SKU_ID]],Tabelle8[SKU_ID],Tabelle8[Avg_Monthly],"-",0)</f>
        <v>25.416666666666668</v>
      </c>
      <c r="H26" s="4">
        <v>14</v>
      </c>
      <c r="I26" s="4">
        <v>910</v>
      </c>
      <c r="J26" s="3">
        <v>0</v>
      </c>
      <c r="K26" s="3">
        <v>0</v>
      </c>
      <c r="L26" s="4">
        <v>0</v>
      </c>
      <c r="M26" s="3"/>
    </row>
    <row r="27" spans="1:13" ht="15" customHeight="1" x14ac:dyDescent="0.2">
      <c r="A27" s="3" t="s">
        <v>113</v>
      </c>
      <c r="B27" s="3" t="s">
        <v>114</v>
      </c>
      <c r="C27" s="3">
        <v>20</v>
      </c>
      <c r="D27" s="3">
        <v>8</v>
      </c>
      <c r="E27" s="3">
        <v>39</v>
      </c>
      <c r="F27" s="3">
        <v>4</v>
      </c>
      <c r="G27" s="5">
        <f>_xlfn.XLOOKUP(Tabelle6[[#This Row],[SKU_ID]],Tabelle8[SKU_ID],Tabelle8[Avg_Monthly],"-",0)</f>
        <v>12.166666666666666</v>
      </c>
      <c r="H27" s="4">
        <v>29</v>
      </c>
      <c r="I27" s="4">
        <v>580</v>
      </c>
      <c r="J27" s="3">
        <v>0</v>
      </c>
      <c r="K27" s="3">
        <v>0</v>
      </c>
      <c r="L27" s="4">
        <v>0</v>
      </c>
      <c r="M27" s="3"/>
    </row>
    <row r="28" spans="1:13" ht="15" customHeight="1" x14ac:dyDescent="0.2">
      <c r="A28" s="3" t="s">
        <v>116</v>
      </c>
      <c r="B28" s="3" t="s">
        <v>117</v>
      </c>
      <c r="C28" s="3">
        <v>10</v>
      </c>
      <c r="D28" s="3">
        <v>5</v>
      </c>
      <c r="E28" s="3">
        <v>14</v>
      </c>
      <c r="F28" s="3">
        <v>2</v>
      </c>
      <c r="G28" s="5">
        <f>_xlfn.XLOOKUP(Tabelle6[[#This Row],[SKU_ID]],Tabelle8[SKU_ID],Tabelle8[Avg_Monthly],"-",0)</f>
        <v>6</v>
      </c>
      <c r="H28" s="4">
        <v>72</v>
      </c>
      <c r="I28" s="4">
        <v>720</v>
      </c>
      <c r="J28" s="3">
        <v>0</v>
      </c>
      <c r="K28" s="3">
        <v>0</v>
      </c>
      <c r="L28" s="4">
        <v>0</v>
      </c>
      <c r="M28" s="3"/>
    </row>
    <row r="29" spans="1:13" ht="15" customHeight="1" x14ac:dyDescent="0.2">
      <c r="A29" s="3" t="s">
        <v>120</v>
      </c>
      <c r="B29" s="3" t="s">
        <v>121</v>
      </c>
      <c r="C29" s="3">
        <v>7</v>
      </c>
      <c r="D29" s="3">
        <v>4</v>
      </c>
      <c r="E29" s="3">
        <v>12</v>
      </c>
      <c r="F29" s="3">
        <v>1</v>
      </c>
      <c r="G29" s="5">
        <f>_xlfn.XLOOKUP(Tabelle6[[#This Row],[SKU_ID]],Tabelle8[SKU_ID],Tabelle8[Avg_Monthly],"-",0)</f>
        <v>5</v>
      </c>
      <c r="H29" s="4">
        <v>68</v>
      </c>
      <c r="I29" s="4">
        <v>476</v>
      </c>
      <c r="J29" s="3">
        <v>2</v>
      </c>
      <c r="K29" s="3">
        <v>1</v>
      </c>
      <c r="L29" s="4">
        <v>39.18</v>
      </c>
      <c r="M29" s="3"/>
    </row>
    <row r="30" spans="1:13" ht="15" customHeight="1" x14ac:dyDescent="0.2">
      <c r="A30" s="3" t="s">
        <v>123</v>
      </c>
      <c r="B30" s="3" t="s">
        <v>124</v>
      </c>
      <c r="C30" s="3">
        <v>18</v>
      </c>
      <c r="D30" s="3">
        <v>7</v>
      </c>
      <c r="E30" s="3">
        <v>18</v>
      </c>
      <c r="F30" s="3">
        <v>3</v>
      </c>
      <c r="G30" s="5">
        <f>_xlfn.XLOOKUP(Tabelle6[[#This Row],[SKU_ID]],Tabelle8[SKU_ID],Tabelle8[Avg_Monthly],"-",0)</f>
        <v>8.5</v>
      </c>
      <c r="H30" s="4">
        <v>42</v>
      </c>
      <c r="I30" s="4">
        <v>756</v>
      </c>
      <c r="J30" s="3">
        <v>1</v>
      </c>
      <c r="K30" s="3">
        <v>0</v>
      </c>
      <c r="L30" s="4">
        <v>0</v>
      </c>
      <c r="M30" s="3"/>
    </row>
    <row r="31" spans="1:13" ht="15" customHeight="1" x14ac:dyDescent="0.2">
      <c r="A31" s="3" t="s">
        <v>126</v>
      </c>
      <c r="B31" s="3" t="s">
        <v>127</v>
      </c>
      <c r="C31" s="3">
        <v>26</v>
      </c>
      <c r="D31" s="3">
        <v>25</v>
      </c>
      <c r="E31" s="3">
        <v>44</v>
      </c>
      <c r="F31" s="3">
        <v>15</v>
      </c>
      <c r="G31" s="5">
        <f>_xlfn.XLOOKUP(Tabelle6[[#This Row],[SKU_ID]],Tabelle8[SKU_ID],Tabelle8[Avg_Monthly],"-",0)</f>
        <v>20.666666666666668</v>
      </c>
      <c r="H31" s="4">
        <v>21</v>
      </c>
      <c r="I31" s="4">
        <v>546</v>
      </c>
      <c r="J31" s="3">
        <v>0</v>
      </c>
      <c r="K31" s="3">
        <v>0</v>
      </c>
      <c r="L31" s="4">
        <v>0</v>
      </c>
      <c r="M31" s="3"/>
    </row>
    <row r="32" spans="1:13" ht="15" customHeight="1" x14ac:dyDescent="0.2">
      <c r="A32" s="3" t="s">
        <v>128</v>
      </c>
      <c r="B32" s="3" t="s">
        <v>129</v>
      </c>
      <c r="C32" s="3">
        <v>28</v>
      </c>
      <c r="D32" s="3">
        <v>9</v>
      </c>
      <c r="E32" s="3">
        <v>11</v>
      </c>
      <c r="F32" s="3">
        <v>4</v>
      </c>
      <c r="G32" s="5">
        <f>_xlfn.XLOOKUP(Tabelle6[[#This Row],[SKU_ID]],Tabelle8[SKU_ID],Tabelle8[Avg_Monthly],"-",0)</f>
        <v>9.75</v>
      </c>
      <c r="H32" s="4">
        <v>34</v>
      </c>
      <c r="I32" s="4">
        <v>952</v>
      </c>
      <c r="J32" s="3">
        <v>0</v>
      </c>
      <c r="K32" s="3">
        <v>0</v>
      </c>
      <c r="L32" s="4">
        <v>0</v>
      </c>
      <c r="M32" s="3"/>
    </row>
    <row r="33" spans="1:13" ht="15" customHeight="1" x14ac:dyDescent="0.2">
      <c r="A33" s="3" t="s">
        <v>130</v>
      </c>
      <c r="B33" s="3" t="s">
        <v>131</v>
      </c>
      <c r="C33" s="3">
        <v>5</v>
      </c>
      <c r="D33" s="3">
        <v>6</v>
      </c>
      <c r="E33" s="3">
        <v>18</v>
      </c>
      <c r="F33" s="3">
        <v>4</v>
      </c>
      <c r="G33" s="5">
        <f>_xlfn.XLOOKUP(Tabelle6[[#This Row],[SKU_ID]],Tabelle8[SKU_ID],Tabelle8[Avg_Monthly],"-",0)</f>
        <v>4.833333333333333</v>
      </c>
      <c r="H33" s="4">
        <v>110</v>
      </c>
      <c r="I33" s="4">
        <v>550</v>
      </c>
      <c r="J33" s="3">
        <v>2</v>
      </c>
      <c r="K33" s="3">
        <v>0</v>
      </c>
      <c r="L33" s="4">
        <v>0</v>
      </c>
      <c r="M33" s="3" t="s">
        <v>431</v>
      </c>
    </row>
    <row r="34" spans="1:13" ht="15" customHeight="1" x14ac:dyDescent="0.2">
      <c r="A34" s="3" t="s">
        <v>133</v>
      </c>
      <c r="B34" s="3" t="s">
        <v>134</v>
      </c>
      <c r="C34" s="3">
        <v>6</v>
      </c>
      <c r="D34" s="3">
        <v>10</v>
      </c>
      <c r="E34" s="3">
        <v>21</v>
      </c>
      <c r="F34" s="3">
        <v>5</v>
      </c>
      <c r="G34" s="5">
        <f>_xlfn.XLOOKUP(Tabelle6[[#This Row],[SKU_ID]],Tabelle8[SKU_ID],Tabelle8[Avg_Monthly],"-",0)</f>
        <v>6.5</v>
      </c>
      <c r="H34" s="4">
        <v>78</v>
      </c>
      <c r="I34" s="4">
        <v>468</v>
      </c>
      <c r="J34" s="3">
        <v>0</v>
      </c>
      <c r="K34" s="3">
        <v>0</v>
      </c>
      <c r="L34" s="4">
        <v>0</v>
      </c>
      <c r="M34" s="3"/>
    </row>
    <row r="35" spans="1:13" ht="15" customHeight="1" x14ac:dyDescent="0.2">
      <c r="A35" s="3" t="s">
        <v>135</v>
      </c>
      <c r="B35" s="3" t="s">
        <v>136</v>
      </c>
      <c r="C35" s="3">
        <v>9</v>
      </c>
      <c r="D35" s="3">
        <v>4</v>
      </c>
      <c r="E35" s="3">
        <v>18</v>
      </c>
      <c r="F35" s="3">
        <v>2</v>
      </c>
      <c r="G35" s="5">
        <f>_xlfn.XLOOKUP(Tabelle6[[#This Row],[SKU_ID]],Tabelle8[SKU_ID],Tabelle8[Avg_Monthly],"-",0)</f>
        <v>7.5</v>
      </c>
      <c r="H35" s="4">
        <v>68</v>
      </c>
      <c r="I35" s="4">
        <v>612</v>
      </c>
      <c r="J35" s="3">
        <v>0</v>
      </c>
      <c r="K35" s="3">
        <v>1</v>
      </c>
      <c r="L35" s="4">
        <v>86.88</v>
      </c>
      <c r="M35" s="3"/>
    </row>
    <row r="36" spans="1:13" ht="15" customHeight="1" x14ac:dyDescent="0.2">
      <c r="A36" s="3" t="s">
        <v>138</v>
      </c>
      <c r="B36" s="3" t="s">
        <v>139</v>
      </c>
      <c r="C36" s="3">
        <v>13</v>
      </c>
      <c r="D36" s="3">
        <v>6</v>
      </c>
      <c r="E36" s="3">
        <v>48</v>
      </c>
      <c r="F36" s="3">
        <v>2</v>
      </c>
      <c r="G36" s="5">
        <f>_xlfn.XLOOKUP(Tabelle6[[#This Row],[SKU_ID]],Tabelle8[SKU_ID],Tabelle8[Avg_Monthly],"-",0)</f>
        <v>14.666666666666666</v>
      </c>
      <c r="H36" s="4">
        <v>18</v>
      </c>
      <c r="I36" s="4">
        <v>234</v>
      </c>
      <c r="J36" s="3">
        <v>1</v>
      </c>
      <c r="K36" s="3">
        <v>0</v>
      </c>
      <c r="L36" s="4">
        <v>0</v>
      </c>
      <c r="M36" s="3"/>
    </row>
    <row r="37" spans="1:13" ht="15" customHeight="1" x14ac:dyDescent="0.2">
      <c r="A37" s="3" t="s">
        <v>141</v>
      </c>
      <c r="B37" s="3" t="s">
        <v>142</v>
      </c>
      <c r="C37" s="3">
        <v>28</v>
      </c>
      <c r="D37" s="3">
        <v>11</v>
      </c>
      <c r="E37" s="3">
        <v>16</v>
      </c>
      <c r="F37" s="3">
        <v>7</v>
      </c>
      <c r="G37" s="5">
        <f>_xlfn.XLOOKUP(Tabelle6[[#This Row],[SKU_ID]],Tabelle8[SKU_ID],Tabelle8[Avg_Monthly],"-",0)</f>
        <v>10.166666666666666</v>
      </c>
      <c r="H37" s="4">
        <v>22</v>
      </c>
      <c r="I37" s="4">
        <v>616</v>
      </c>
      <c r="J37" s="3">
        <v>1</v>
      </c>
      <c r="K37" s="3">
        <v>0</v>
      </c>
      <c r="L37" s="4">
        <v>0</v>
      </c>
      <c r="M37" s="3"/>
    </row>
    <row r="38" spans="1:13" ht="15" customHeight="1" x14ac:dyDescent="0.2">
      <c r="A38" s="3" t="s">
        <v>144</v>
      </c>
      <c r="B38" s="3" t="s">
        <v>145</v>
      </c>
      <c r="C38" s="3">
        <v>12</v>
      </c>
      <c r="D38" s="3">
        <v>12</v>
      </c>
      <c r="E38" s="3">
        <v>10</v>
      </c>
      <c r="F38" s="3">
        <v>7</v>
      </c>
      <c r="G38" s="5">
        <f>_xlfn.XLOOKUP(Tabelle6[[#This Row],[SKU_ID]],Tabelle8[SKU_ID],Tabelle8[Avg_Monthly],"-",0)</f>
        <v>8.4166666666666661</v>
      </c>
      <c r="H38" s="4">
        <v>44</v>
      </c>
      <c r="I38" s="4">
        <v>528</v>
      </c>
      <c r="J38" s="3">
        <v>0</v>
      </c>
      <c r="K38" s="3">
        <v>0</v>
      </c>
      <c r="L38" s="4">
        <v>0</v>
      </c>
      <c r="M38" s="3"/>
    </row>
    <row r="39" spans="1:13" ht="15" customHeight="1" x14ac:dyDescent="0.2">
      <c r="A39" s="3" t="s">
        <v>146</v>
      </c>
      <c r="B39" s="3" t="s">
        <v>147</v>
      </c>
      <c r="C39" s="3">
        <v>10</v>
      </c>
      <c r="D39" s="3">
        <v>8</v>
      </c>
      <c r="E39" s="3">
        <v>39</v>
      </c>
      <c r="F39" s="3">
        <v>4</v>
      </c>
      <c r="G39" s="5">
        <f>_xlfn.XLOOKUP(Tabelle6[[#This Row],[SKU_ID]],Tabelle8[SKU_ID],Tabelle8[Avg_Monthly],"-",0)</f>
        <v>12</v>
      </c>
      <c r="H39" s="4">
        <v>35</v>
      </c>
      <c r="I39" s="4">
        <v>350</v>
      </c>
      <c r="J39" s="3">
        <v>0</v>
      </c>
      <c r="K39" s="3">
        <v>0</v>
      </c>
      <c r="L39" s="4">
        <v>0</v>
      </c>
      <c r="M39" s="3"/>
    </row>
    <row r="40" spans="1:13" x14ac:dyDescent="0.2">
      <c r="A40" s="8"/>
      <c r="B40" s="8"/>
      <c r="C40" s="8"/>
      <c r="D40" s="8"/>
      <c r="E40" s="8">
        <f>SUBTOTAL(109,Tabelle6[Reorder_Qty_units])</f>
        <v>1258</v>
      </c>
      <c r="F40" s="8"/>
      <c r="G40" s="21"/>
      <c r="H40" s="22" t="s">
        <v>516</v>
      </c>
      <c r="I40" s="4">
        <f>SUM(Tabelle6[Current_Stock_Value_€])</f>
        <v>33641</v>
      </c>
      <c r="J40" s="8"/>
      <c r="K40" s="8"/>
      <c r="L40" s="4"/>
      <c r="M40" s="8"/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1"/>
  <sheetViews>
    <sheetView zoomScaleNormal="100" workbookViewId="0">
      <selection activeCell="J41" sqref="J41"/>
    </sheetView>
  </sheetViews>
  <sheetFormatPr baseColWidth="10" defaultColWidth="8.6640625" defaultRowHeight="15" x14ac:dyDescent="0.2"/>
  <cols>
    <col min="1" max="1" width="12" customWidth="1"/>
    <col min="2" max="2" width="42" customWidth="1"/>
    <col min="3" max="5" width="11.6640625" bestFit="1" customWidth="1"/>
    <col min="6" max="6" width="11.5" bestFit="1" customWidth="1"/>
    <col min="7" max="7" width="12" bestFit="1" customWidth="1"/>
    <col min="8" max="8" width="11.6640625" bestFit="1" customWidth="1"/>
    <col min="9" max="9" width="11.1640625" bestFit="1" customWidth="1"/>
    <col min="10" max="11" width="11.83203125" bestFit="1" customWidth="1"/>
    <col min="12" max="12" width="11.5" bestFit="1" customWidth="1"/>
    <col min="13" max="14" width="11.83203125" bestFit="1" customWidth="1"/>
    <col min="15" max="15" width="15.1640625" bestFit="1" customWidth="1"/>
    <col min="16" max="16" width="22" bestFit="1" customWidth="1"/>
    <col min="17" max="17" width="25.1640625" bestFit="1" customWidth="1"/>
  </cols>
  <sheetData>
    <row r="1" spans="1:18" ht="15" customHeight="1" x14ac:dyDescent="0.2">
      <c r="A1" s="1" t="s">
        <v>30</v>
      </c>
      <c r="B1" s="1" t="s">
        <v>31</v>
      </c>
      <c r="C1" s="1" t="s">
        <v>356</v>
      </c>
      <c r="D1" s="1" t="s">
        <v>357</v>
      </c>
      <c r="E1" s="1" t="s">
        <v>358</v>
      </c>
      <c r="F1" s="1" t="s">
        <v>359</v>
      </c>
      <c r="G1" s="1" t="s">
        <v>360</v>
      </c>
      <c r="H1" s="1" t="s">
        <v>361</v>
      </c>
      <c r="I1" s="1" t="s">
        <v>362</v>
      </c>
      <c r="J1" s="1" t="s">
        <v>363</v>
      </c>
      <c r="K1" s="1" t="s">
        <v>364</v>
      </c>
      <c r="L1" s="1" t="s">
        <v>365</v>
      </c>
      <c r="M1" s="1" t="s">
        <v>366</v>
      </c>
      <c r="N1" s="1" t="s">
        <v>367</v>
      </c>
      <c r="O1" s="1" t="s">
        <v>368</v>
      </c>
      <c r="P1" s="10" t="s">
        <v>566</v>
      </c>
      <c r="Q1" s="9" t="s">
        <v>496</v>
      </c>
      <c r="R1" s="9" t="s">
        <v>497</v>
      </c>
    </row>
    <row r="2" spans="1:18" ht="15" customHeight="1" x14ac:dyDescent="0.2">
      <c r="A2" s="3" t="s">
        <v>39</v>
      </c>
      <c r="B2" s="3" t="s">
        <v>40</v>
      </c>
      <c r="C2" s="3">
        <v>21</v>
      </c>
      <c r="D2" s="3">
        <v>27</v>
      </c>
      <c r="E2" s="3">
        <v>34</v>
      </c>
      <c r="F2" s="3">
        <v>41</v>
      </c>
      <c r="G2" s="3">
        <v>39</v>
      </c>
      <c r="H2" s="3">
        <v>32</v>
      </c>
      <c r="I2" s="3">
        <v>35</v>
      </c>
      <c r="J2" s="3">
        <v>27</v>
      </c>
      <c r="K2" s="3">
        <v>21</v>
      </c>
      <c r="L2" s="3">
        <v>18</v>
      </c>
      <c r="M2" s="3">
        <v>17</v>
      </c>
      <c r="N2" s="3">
        <v>22</v>
      </c>
      <c r="O2">
        <f t="shared" ref="O2:O39" si="0">SUM(C2:N2)</f>
        <v>334</v>
      </c>
      <c r="P2" s="32">
        <f>ROUNDUP(Table_Order_History[[#This Row],[Total_2024]]/_xlfn.XLOOKUP(Table_Order_History[[#This Row],[SKU_ID]],Tabelle6[SKU_ID],Tabelle6[Reorder_Qty_units],"-",0),0)</f>
        <v>7</v>
      </c>
      <c r="Q2" s="4">
        <f>Table_Order_History[[#This Row],[Total_2024]]*_xlfn.XLOOKUP(Table_Order_History[[#This Row],[SKU_ID]],Tabelle2[SKU_ID],Tabelle2[Unit_Selling_Price_€],0,0)</f>
        <v>22712</v>
      </c>
      <c r="R2" s="8">
        <f>RANK(Table_Order_History[[#This Row],[Total_Annual_Revenue]],Table_Order_History[Total_Annual_Revenue],0)</f>
        <v>3</v>
      </c>
    </row>
    <row r="3" spans="1:18" ht="15" customHeight="1" x14ac:dyDescent="0.2">
      <c r="A3" s="3" t="s">
        <v>43</v>
      </c>
      <c r="B3" s="3" t="s">
        <v>44</v>
      </c>
      <c r="C3" s="3">
        <v>16</v>
      </c>
      <c r="D3" s="3">
        <v>18</v>
      </c>
      <c r="E3" s="3">
        <v>20</v>
      </c>
      <c r="F3" s="3">
        <v>22</v>
      </c>
      <c r="G3" s="3">
        <v>27</v>
      </c>
      <c r="H3" s="3">
        <v>29</v>
      </c>
      <c r="I3" s="3">
        <v>22</v>
      </c>
      <c r="J3" s="3">
        <v>18</v>
      </c>
      <c r="K3" s="3">
        <v>16</v>
      </c>
      <c r="L3" s="3">
        <v>6</v>
      </c>
      <c r="M3" s="3">
        <v>9</v>
      </c>
      <c r="N3" s="3">
        <v>13</v>
      </c>
      <c r="O3">
        <f t="shared" si="0"/>
        <v>216</v>
      </c>
      <c r="P3" s="32">
        <f>ROUNDUP(Table_Order_History[[#This Row],[Total_2024]]/_xlfn.XLOOKUP(Table_Order_History[[#This Row],[SKU_ID]],Tabelle6[SKU_ID],Tabelle6[Reorder_Qty_units],"-",0),0)</f>
        <v>6</v>
      </c>
      <c r="Q3" s="4">
        <f>Table_Order_History[[#This Row],[Total_2024]]*_xlfn.XLOOKUP(Table_Order_History[[#This Row],[SKU_ID]],Tabelle2[SKU_ID],Tabelle2[Unit_Selling_Price_€],0,0)</f>
        <v>9504</v>
      </c>
      <c r="R3" s="8">
        <f>RANK(Table_Order_History[[#This Row],[Total_Annual_Revenue]],Table_Order_History[Total_Annual_Revenue],0)</f>
        <v>21</v>
      </c>
    </row>
    <row r="4" spans="1:18" ht="15" customHeight="1" x14ac:dyDescent="0.2">
      <c r="A4" s="3" t="s">
        <v>45</v>
      </c>
      <c r="B4" s="3" t="s">
        <v>46</v>
      </c>
      <c r="C4" s="3">
        <v>14</v>
      </c>
      <c r="D4" s="3">
        <v>14</v>
      </c>
      <c r="E4" s="3">
        <v>20</v>
      </c>
      <c r="F4" s="3">
        <v>22</v>
      </c>
      <c r="G4" s="3">
        <v>24</v>
      </c>
      <c r="H4" s="3">
        <v>18</v>
      </c>
      <c r="I4" s="3">
        <v>20</v>
      </c>
      <c r="J4" s="3">
        <v>10</v>
      </c>
      <c r="K4" s="3">
        <v>4</v>
      </c>
      <c r="L4" s="3">
        <v>7</v>
      </c>
      <c r="M4" s="3">
        <v>5</v>
      </c>
      <c r="N4" s="3">
        <v>12</v>
      </c>
      <c r="O4">
        <f t="shared" si="0"/>
        <v>170</v>
      </c>
      <c r="P4" s="32">
        <f>ROUNDUP(Table_Order_History[[#This Row],[Total_2024]]/_xlfn.XLOOKUP(Table_Order_History[[#This Row],[SKU_ID]],Tabelle6[SKU_ID],Tabelle6[Reorder_Qty_units],"-",0),0)</f>
        <v>5</v>
      </c>
      <c r="Q4" s="4">
        <f>Table_Order_History[[#This Row],[Total_2024]]*_xlfn.XLOOKUP(Table_Order_History[[#This Row],[SKU_ID]],Tabelle2[SKU_ID],Tabelle2[Unit_Selling_Price_€],0,0)</f>
        <v>15130</v>
      </c>
      <c r="R4" s="8">
        <f>RANK(Table_Order_History[[#This Row],[Total_Annual_Revenue]],Table_Order_History[Total_Annual_Revenue],0)</f>
        <v>6</v>
      </c>
    </row>
    <row r="5" spans="1:18" ht="15" customHeight="1" x14ac:dyDescent="0.2">
      <c r="A5" s="3" t="s">
        <v>48</v>
      </c>
      <c r="B5" s="3" t="s">
        <v>49</v>
      </c>
      <c r="C5" s="3">
        <v>37</v>
      </c>
      <c r="D5" s="3">
        <v>37</v>
      </c>
      <c r="E5" s="3">
        <v>53</v>
      </c>
      <c r="F5" s="3">
        <v>51</v>
      </c>
      <c r="G5" s="3">
        <v>57</v>
      </c>
      <c r="H5" s="3">
        <v>54</v>
      </c>
      <c r="I5" s="3">
        <v>50</v>
      </c>
      <c r="J5" s="3">
        <v>45</v>
      </c>
      <c r="K5" s="3">
        <v>37</v>
      </c>
      <c r="L5" s="3">
        <v>30</v>
      </c>
      <c r="M5" s="3">
        <v>30</v>
      </c>
      <c r="N5" s="3">
        <v>31</v>
      </c>
      <c r="O5">
        <f t="shared" si="0"/>
        <v>512</v>
      </c>
      <c r="P5" s="32">
        <f>ROUNDUP(Table_Order_History[[#This Row],[Total_2024]]/_xlfn.XLOOKUP(Table_Order_History[[#This Row],[SKU_ID]],Tabelle6[SKU_ID],Tabelle6[Reorder_Qty_units],"-",0),0)</f>
        <v>8</v>
      </c>
      <c r="Q5" s="4">
        <f>Table_Order_History[[#This Row],[Total_2024]]*_xlfn.XLOOKUP(Table_Order_History[[#This Row],[SKU_ID]],Tabelle2[SKU_ID],Tabelle2[Unit_Selling_Price_€],0,0)</f>
        <v>14848</v>
      </c>
      <c r="R5" s="8">
        <f>RANK(Table_Order_History[[#This Row],[Total_Annual_Revenue]],Table_Order_History[Total_Annual_Revenue],0)</f>
        <v>8</v>
      </c>
    </row>
    <row r="6" spans="1:18" ht="15" customHeight="1" x14ac:dyDescent="0.2">
      <c r="A6" s="3" t="s">
        <v>51</v>
      </c>
      <c r="B6" s="3" t="s">
        <v>52</v>
      </c>
      <c r="C6" s="3">
        <v>8</v>
      </c>
      <c r="D6" s="3">
        <v>10</v>
      </c>
      <c r="E6" s="3">
        <v>13</v>
      </c>
      <c r="F6" s="3">
        <v>17</v>
      </c>
      <c r="G6" s="3">
        <v>15</v>
      </c>
      <c r="H6" s="3">
        <v>22</v>
      </c>
      <c r="I6" s="3">
        <v>12</v>
      </c>
      <c r="J6" s="3">
        <v>9</v>
      </c>
      <c r="K6" s="3">
        <v>12</v>
      </c>
      <c r="L6" s="3">
        <v>12</v>
      </c>
      <c r="M6" s="3">
        <v>9</v>
      </c>
      <c r="N6" s="3">
        <v>11</v>
      </c>
      <c r="O6">
        <f t="shared" si="0"/>
        <v>150</v>
      </c>
      <c r="P6" s="32">
        <f>ROUNDUP(Table_Order_History[[#This Row],[Total_2024]]/_xlfn.XLOOKUP(Table_Order_History[[#This Row],[SKU_ID]],Tabelle6[SKU_ID],Tabelle6[Reorder_Qty_units],"-",0),0)</f>
        <v>4</v>
      </c>
      <c r="Q6" s="4">
        <f>Table_Order_History[[#This Row],[Total_2024]]*_xlfn.XLOOKUP(Table_Order_History[[#This Row],[SKU_ID]],Tabelle2[SKU_ID],Tabelle2[Unit_Selling_Price_€],0,0)</f>
        <v>5250</v>
      </c>
      <c r="R6" s="8">
        <f>RANK(Table_Order_History[[#This Row],[Total_Annual_Revenue]],Table_Order_History[Total_Annual_Revenue],0)</f>
        <v>34</v>
      </c>
    </row>
    <row r="7" spans="1:18" ht="15" customHeight="1" x14ac:dyDescent="0.2">
      <c r="A7" s="3" t="s">
        <v>53</v>
      </c>
      <c r="B7" s="3" t="s">
        <v>54</v>
      </c>
      <c r="C7" s="3">
        <v>6</v>
      </c>
      <c r="D7" s="3">
        <v>4</v>
      </c>
      <c r="E7" s="3">
        <v>2</v>
      </c>
      <c r="F7" s="3">
        <v>5</v>
      </c>
      <c r="G7" s="3">
        <v>8</v>
      </c>
      <c r="H7" s="3">
        <v>3</v>
      </c>
      <c r="I7" s="3">
        <v>5</v>
      </c>
      <c r="J7" s="3">
        <v>4</v>
      </c>
      <c r="K7" s="3">
        <v>2</v>
      </c>
      <c r="L7" s="3">
        <v>4</v>
      </c>
      <c r="M7" s="3">
        <v>3</v>
      </c>
      <c r="N7" s="3">
        <v>6</v>
      </c>
      <c r="O7">
        <f t="shared" si="0"/>
        <v>52</v>
      </c>
      <c r="P7" s="32">
        <f>ROUNDUP(Table_Order_History[[#This Row],[Total_2024]]/_xlfn.XLOOKUP(Table_Order_History[[#This Row],[SKU_ID]],Tabelle6[SKU_ID],Tabelle6[Reorder_Qty_units],"-",0),0)</f>
        <v>4</v>
      </c>
      <c r="Q7" s="4">
        <f>Table_Order_History[[#This Row],[Total_2024]]*_xlfn.XLOOKUP(Table_Order_History[[#This Row],[SKU_ID]],Tabelle2[SKU_ID],Tabelle2[Unit_Selling_Price_€],0,0)</f>
        <v>25948</v>
      </c>
      <c r="R7" s="8">
        <f>RANK(Table_Order_History[[#This Row],[Total_Annual_Revenue]],Table_Order_History[Total_Annual_Revenue],0)</f>
        <v>1</v>
      </c>
    </row>
    <row r="8" spans="1:18" ht="15" customHeight="1" x14ac:dyDescent="0.2">
      <c r="A8" s="3" t="s">
        <v>57</v>
      </c>
      <c r="B8" s="3" t="s">
        <v>58</v>
      </c>
      <c r="C8" s="3">
        <v>2</v>
      </c>
      <c r="D8" s="3">
        <v>1</v>
      </c>
      <c r="E8" s="3">
        <v>2</v>
      </c>
      <c r="F8" s="3">
        <v>2</v>
      </c>
      <c r="G8" s="3">
        <v>4</v>
      </c>
      <c r="H8" s="3">
        <v>2</v>
      </c>
      <c r="I8" s="3">
        <v>2</v>
      </c>
      <c r="J8" s="3">
        <v>3</v>
      </c>
      <c r="K8" s="3">
        <v>1</v>
      </c>
      <c r="L8" s="3">
        <v>1</v>
      </c>
      <c r="M8" s="3">
        <v>0</v>
      </c>
      <c r="N8" s="3">
        <v>0</v>
      </c>
      <c r="O8">
        <f t="shared" si="0"/>
        <v>20</v>
      </c>
      <c r="P8" s="32">
        <f>ROUNDUP(Table_Order_History[[#This Row],[Total_2024]]/_xlfn.XLOOKUP(Table_Order_History[[#This Row],[SKU_ID]],Tabelle6[SKU_ID],Tabelle6[Reorder_Qty_units],"-",0),0)</f>
        <v>10</v>
      </c>
      <c r="Q8" s="4">
        <f>Table_Order_History[[#This Row],[Total_2024]]*_xlfn.XLOOKUP(Table_Order_History[[#This Row],[SKU_ID]],Tabelle2[SKU_ID],Tabelle2[Unit_Selling_Price_€],0,0)</f>
        <v>17800</v>
      </c>
      <c r="R8" s="8">
        <f>RANK(Table_Order_History[[#This Row],[Total_Annual_Revenue]],Table_Order_History[Total_Annual_Revenue],0)</f>
        <v>4</v>
      </c>
    </row>
    <row r="9" spans="1:18" ht="15" customHeight="1" x14ac:dyDescent="0.2">
      <c r="A9" s="3" t="s">
        <v>59</v>
      </c>
      <c r="B9" s="3" t="s">
        <v>60</v>
      </c>
      <c r="C9" s="3">
        <v>6</v>
      </c>
      <c r="D9" s="3">
        <v>10</v>
      </c>
      <c r="E9" s="3">
        <v>13</v>
      </c>
      <c r="F9" s="3">
        <v>12</v>
      </c>
      <c r="G9" s="3">
        <v>13</v>
      </c>
      <c r="H9" s="3">
        <v>12</v>
      </c>
      <c r="I9" s="3">
        <v>13</v>
      </c>
      <c r="J9" s="3">
        <v>11</v>
      </c>
      <c r="K9" s="3">
        <v>8</v>
      </c>
      <c r="L9" s="3">
        <v>4</v>
      </c>
      <c r="M9" s="3">
        <v>8</v>
      </c>
      <c r="N9" s="3">
        <v>7</v>
      </c>
      <c r="O9">
        <f t="shared" si="0"/>
        <v>117</v>
      </c>
      <c r="P9" s="32">
        <f>ROUNDUP(Table_Order_History[[#This Row],[Total_2024]]/_xlfn.XLOOKUP(Table_Order_History[[#This Row],[SKU_ID]],Tabelle6[SKU_ID],Tabelle6[Reorder_Qty_units],"-",0),0)</f>
        <v>4</v>
      </c>
      <c r="Q9" s="4">
        <f>Table_Order_History[[#This Row],[Total_2024]]*_xlfn.XLOOKUP(Table_Order_History[[#This Row],[SKU_ID]],Tabelle2[SKU_ID],Tabelle2[Unit_Selling_Price_€],0,0)</f>
        <v>12285</v>
      </c>
      <c r="R9" s="8">
        <f>RANK(Table_Order_History[[#This Row],[Total_Annual_Revenue]],Table_Order_History[Total_Annual_Revenue],0)</f>
        <v>12</v>
      </c>
    </row>
    <row r="10" spans="1:18" ht="15" customHeight="1" x14ac:dyDescent="0.2">
      <c r="A10" s="3" t="s">
        <v>61</v>
      </c>
      <c r="B10" s="3" t="s">
        <v>62</v>
      </c>
      <c r="C10" s="3">
        <v>15</v>
      </c>
      <c r="D10" s="3">
        <v>14</v>
      </c>
      <c r="E10" s="3">
        <v>22</v>
      </c>
      <c r="F10" s="3">
        <v>17</v>
      </c>
      <c r="G10" s="3">
        <v>23</v>
      </c>
      <c r="H10" s="3">
        <v>19</v>
      </c>
      <c r="I10" s="3">
        <v>15</v>
      </c>
      <c r="J10" s="3">
        <v>11</v>
      </c>
      <c r="K10" s="3">
        <v>11</v>
      </c>
      <c r="L10" s="3">
        <v>14</v>
      </c>
      <c r="M10" s="3">
        <v>11</v>
      </c>
      <c r="N10" s="3">
        <v>12</v>
      </c>
      <c r="O10">
        <f t="shared" si="0"/>
        <v>184</v>
      </c>
      <c r="P10" s="32">
        <f>ROUNDUP(Table_Order_History[[#This Row],[Total_2024]]/_xlfn.XLOOKUP(Table_Order_History[[#This Row],[SKU_ID]],Tabelle6[SKU_ID],Tabelle6[Reorder_Qty_units],"-",0),0)</f>
        <v>8</v>
      </c>
      <c r="Q10" s="4">
        <f>Table_Order_History[[#This Row],[Total_2024]]*_xlfn.XLOOKUP(Table_Order_History[[#This Row],[SKU_ID]],Tabelle2[SKU_ID],Tabelle2[Unit_Selling_Price_€],0,0)</f>
        <v>14536</v>
      </c>
      <c r="R10" s="8">
        <f>RANK(Table_Order_History[[#This Row],[Total_Annual_Revenue]],Table_Order_History[Total_Annual_Revenue],0)</f>
        <v>10</v>
      </c>
    </row>
    <row r="11" spans="1:18" ht="15" customHeight="1" x14ac:dyDescent="0.2">
      <c r="A11" s="3" t="s">
        <v>64</v>
      </c>
      <c r="B11" s="3" t="s">
        <v>65</v>
      </c>
      <c r="C11" s="3">
        <v>5</v>
      </c>
      <c r="D11" s="3">
        <v>12</v>
      </c>
      <c r="E11" s="3">
        <v>14</v>
      </c>
      <c r="F11" s="3">
        <v>13</v>
      </c>
      <c r="G11" s="3">
        <v>13</v>
      </c>
      <c r="H11" s="3">
        <v>14</v>
      </c>
      <c r="I11" s="3">
        <v>16</v>
      </c>
      <c r="J11" s="3">
        <v>9</v>
      </c>
      <c r="K11" s="3">
        <v>9</v>
      </c>
      <c r="L11" s="3">
        <v>11</v>
      </c>
      <c r="M11" s="3">
        <v>7</v>
      </c>
      <c r="N11" s="3">
        <v>8</v>
      </c>
      <c r="O11">
        <f t="shared" si="0"/>
        <v>131</v>
      </c>
      <c r="P11" s="32">
        <f>ROUNDUP(Table_Order_History[[#This Row],[Total_2024]]/_xlfn.XLOOKUP(Table_Order_History[[#This Row],[SKU_ID]],Tabelle6[SKU_ID],Tabelle6[Reorder_Qty_units],"-",0),0)</f>
        <v>4</v>
      </c>
      <c r="Q11" s="4">
        <f>Table_Order_History[[#This Row],[Total_2024]]*_xlfn.XLOOKUP(Table_Order_History[[#This Row],[SKU_ID]],Tabelle2[SKU_ID],Tabelle2[Unit_Selling_Price_€],0,0)</f>
        <v>4192</v>
      </c>
      <c r="R11" s="8">
        <f>RANK(Table_Order_History[[#This Row],[Total_Annual_Revenue]],Table_Order_History[Total_Annual_Revenue],0)</f>
        <v>37</v>
      </c>
    </row>
    <row r="12" spans="1:18" ht="15" customHeight="1" x14ac:dyDescent="0.2">
      <c r="A12" s="3" t="s">
        <v>67</v>
      </c>
      <c r="B12" s="3" t="s">
        <v>68</v>
      </c>
      <c r="C12" s="3">
        <v>7</v>
      </c>
      <c r="D12" s="3">
        <v>6</v>
      </c>
      <c r="E12" s="3">
        <v>9</v>
      </c>
      <c r="F12" s="3">
        <v>8</v>
      </c>
      <c r="G12" s="3">
        <v>11</v>
      </c>
      <c r="H12" s="3">
        <v>10</v>
      </c>
      <c r="I12" s="3">
        <v>13</v>
      </c>
      <c r="J12" s="3">
        <v>8</v>
      </c>
      <c r="K12" s="3">
        <v>9</v>
      </c>
      <c r="L12" s="3">
        <v>4</v>
      </c>
      <c r="M12" s="3">
        <v>6</v>
      </c>
      <c r="N12" s="3">
        <v>7</v>
      </c>
      <c r="O12">
        <f t="shared" si="0"/>
        <v>98</v>
      </c>
      <c r="P12" s="32">
        <f>ROUNDUP(Table_Order_History[[#This Row],[Total_2024]]/_xlfn.XLOOKUP(Table_Order_History[[#This Row],[SKU_ID]],Tabelle6[SKU_ID],Tabelle6[Reorder_Qty_units],"-",0),0)</f>
        <v>6</v>
      </c>
      <c r="Q12" s="4">
        <f>Table_Order_History[[#This Row],[Total_2024]]*_xlfn.XLOOKUP(Table_Order_History[[#This Row],[SKU_ID]],Tabelle2[SKU_ID],Tabelle2[Unit_Selling_Price_€],0,0)</f>
        <v>15190</v>
      </c>
      <c r="R12" s="8">
        <f>RANK(Table_Order_History[[#This Row],[Total_Annual_Revenue]],Table_Order_History[Total_Annual_Revenue],0)</f>
        <v>5</v>
      </c>
    </row>
    <row r="13" spans="1:18" ht="15" customHeight="1" x14ac:dyDescent="0.2">
      <c r="A13" s="3" t="s">
        <v>71</v>
      </c>
      <c r="B13" s="3" t="s">
        <v>72</v>
      </c>
      <c r="C13" s="3">
        <v>20</v>
      </c>
      <c r="D13" s="3">
        <v>13</v>
      </c>
      <c r="E13" s="3">
        <v>23</v>
      </c>
      <c r="F13" s="3">
        <v>24</v>
      </c>
      <c r="G13" s="3">
        <v>27</v>
      </c>
      <c r="H13" s="3">
        <v>24</v>
      </c>
      <c r="I13" s="3">
        <v>21</v>
      </c>
      <c r="J13" s="3">
        <v>17</v>
      </c>
      <c r="K13" s="3">
        <v>12</v>
      </c>
      <c r="L13" s="3">
        <v>14</v>
      </c>
      <c r="M13" s="3">
        <v>12</v>
      </c>
      <c r="N13" s="3">
        <v>19</v>
      </c>
      <c r="O13">
        <f t="shared" si="0"/>
        <v>226</v>
      </c>
      <c r="P13" s="32">
        <f>ROUNDUP(Table_Order_History[[#This Row],[Total_2024]]/_xlfn.XLOOKUP(Table_Order_History[[#This Row],[SKU_ID]],Tabelle6[SKU_ID],Tabelle6[Reorder_Qty_units],"-",0),0)</f>
        <v>12</v>
      </c>
      <c r="Q13" s="4">
        <f>Table_Order_History[[#This Row],[Total_2024]]*_xlfn.XLOOKUP(Table_Order_History[[#This Row],[SKU_ID]],Tabelle2[SKU_ID],Tabelle2[Unit_Selling_Price_€],0,0)</f>
        <v>14012</v>
      </c>
      <c r="R13" s="8">
        <f>RANK(Table_Order_History[[#This Row],[Total_Annual_Revenue]],Table_Order_History[Total_Annual_Revenue],0)</f>
        <v>11</v>
      </c>
    </row>
    <row r="14" spans="1:18" ht="15" customHeight="1" x14ac:dyDescent="0.2">
      <c r="A14" s="3" t="s">
        <v>74</v>
      </c>
      <c r="B14" s="3" t="s">
        <v>75</v>
      </c>
      <c r="C14" s="3">
        <v>17</v>
      </c>
      <c r="D14" s="3">
        <v>23</v>
      </c>
      <c r="E14" s="3">
        <v>21</v>
      </c>
      <c r="F14" s="3">
        <v>26</v>
      </c>
      <c r="G14" s="3">
        <v>29</v>
      </c>
      <c r="H14" s="3">
        <v>29</v>
      </c>
      <c r="I14" s="3">
        <v>29</v>
      </c>
      <c r="J14" s="3">
        <v>22</v>
      </c>
      <c r="K14" s="3">
        <v>16</v>
      </c>
      <c r="L14" s="3">
        <v>18</v>
      </c>
      <c r="M14" s="3">
        <v>17</v>
      </c>
      <c r="N14" s="3">
        <v>18</v>
      </c>
      <c r="O14">
        <f t="shared" si="0"/>
        <v>265</v>
      </c>
      <c r="P14" s="32">
        <f>ROUNDUP(Table_Order_History[[#This Row],[Total_2024]]/_xlfn.XLOOKUP(Table_Order_History[[#This Row],[SKU_ID]],Tabelle6[SKU_ID],Tabelle6[Reorder_Qty_units],"-",0),0)</f>
        <v>12</v>
      </c>
      <c r="Q14" s="4">
        <f>Table_Order_History[[#This Row],[Total_2024]]*_xlfn.XLOOKUP(Table_Order_History[[#This Row],[SKU_ID]],Tabelle2[SKU_ID],Tabelle2[Unit_Selling_Price_€],0,0)</f>
        <v>9540</v>
      </c>
      <c r="R14" s="8">
        <f>RANK(Table_Order_History[[#This Row],[Total_Annual_Revenue]],Table_Order_History[Total_Annual_Revenue],0)</f>
        <v>20</v>
      </c>
    </row>
    <row r="15" spans="1:18" ht="15" customHeight="1" x14ac:dyDescent="0.2">
      <c r="A15" s="3" t="s">
        <v>76</v>
      </c>
      <c r="B15" s="3" t="s">
        <v>77</v>
      </c>
      <c r="C15" s="3">
        <v>46</v>
      </c>
      <c r="D15" s="3">
        <v>61</v>
      </c>
      <c r="E15" s="3">
        <v>60</v>
      </c>
      <c r="F15" s="3">
        <v>68</v>
      </c>
      <c r="G15" s="3">
        <v>72</v>
      </c>
      <c r="H15" s="3">
        <v>67</v>
      </c>
      <c r="I15" s="3">
        <v>62</v>
      </c>
      <c r="J15" s="3">
        <v>67</v>
      </c>
      <c r="K15" s="3">
        <v>51</v>
      </c>
      <c r="L15" s="3">
        <v>45</v>
      </c>
      <c r="M15" s="3">
        <v>46</v>
      </c>
      <c r="N15" s="3">
        <v>54</v>
      </c>
      <c r="O15">
        <f t="shared" si="0"/>
        <v>699</v>
      </c>
      <c r="P15" s="32">
        <f>ROUNDUP(Table_Order_History[[#This Row],[Total_2024]]/_xlfn.XLOOKUP(Table_Order_History[[#This Row],[SKU_ID]],Tabelle6[SKU_ID],Tabelle6[Reorder_Qty_units],"-",0),0)</f>
        <v>5</v>
      </c>
      <c r="Q15" s="4">
        <f>Table_Order_History[[#This Row],[Total_2024]]*_xlfn.XLOOKUP(Table_Order_History[[#This Row],[SKU_ID]],Tabelle2[SKU_ID],Tabelle2[Unit_Selling_Price_€],0,0)</f>
        <v>9786</v>
      </c>
      <c r="R15" s="8">
        <f>RANK(Table_Order_History[[#This Row],[Total_Annual_Revenue]],Table_Order_History[Total_Annual_Revenue],0)</f>
        <v>18</v>
      </c>
    </row>
    <row r="16" spans="1:18" ht="15" customHeight="1" x14ac:dyDescent="0.2">
      <c r="A16" s="3" t="s">
        <v>79</v>
      </c>
      <c r="B16" s="3" t="s">
        <v>80</v>
      </c>
      <c r="C16" s="3">
        <v>17</v>
      </c>
      <c r="D16" s="3">
        <v>26</v>
      </c>
      <c r="E16" s="3">
        <v>35</v>
      </c>
      <c r="F16" s="3">
        <v>34</v>
      </c>
      <c r="G16" s="3">
        <v>32</v>
      </c>
      <c r="H16" s="3">
        <v>37</v>
      </c>
      <c r="I16" s="3">
        <v>32</v>
      </c>
      <c r="J16" s="3">
        <v>22</v>
      </c>
      <c r="K16" s="3">
        <v>20</v>
      </c>
      <c r="L16" s="3">
        <v>14</v>
      </c>
      <c r="M16" s="3">
        <v>6</v>
      </c>
      <c r="N16" s="3">
        <v>14</v>
      </c>
      <c r="O16">
        <f t="shared" si="0"/>
        <v>289</v>
      </c>
      <c r="P16" s="32">
        <f>ROUNDUP(Table_Order_History[[#This Row],[Total_2024]]/_xlfn.XLOOKUP(Table_Order_History[[#This Row],[SKU_ID]],Tabelle6[SKU_ID],Tabelle6[Reorder_Qty_units],"-",0),0)</f>
        <v>4</v>
      </c>
      <c r="Q16" s="4">
        <f>Table_Order_History[[#This Row],[Total_2024]]*_xlfn.XLOOKUP(Table_Order_History[[#This Row],[SKU_ID]],Tabelle2[SKU_ID],Tabelle2[Unit_Selling_Price_€],0,0)</f>
        <v>15028</v>
      </c>
      <c r="R16" s="8">
        <f>RANK(Table_Order_History[[#This Row],[Total_Annual_Revenue]],Table_Order_History[Total_Annual_Revenue],0)</f>
        <v>7</v>
      </c>
    </row>
    <row r="17" spans="1:18" ht="15" customHeight="1" x14ac:dyDescent="0.2">
      <c r="A17" s="3" t="s">
        <v>83</v>
      </c>
      <c r="B17" s="3" t="s">
        <v>84</v>
      </c>
      <c r="C17" s="3">
        <v>14</v>
      </c>
      <c r="D17" s="3">
        <v>16</v>
      </c>
      <c r="E17" s="3">
        <v>27</v>
      </c>
      <c r="F17" s="3">
        <v>29</v>
      </c>
      <c r="G17" s="3">
        <v>29</v>
      </c>
      <c r="H17" s="3">
        <v>31</v>
      </c>
      <c r="I17" s="3">
        <v>27</v>
      </c>
      <c r="J17" s="3">
        <v>18</v>
      </c>
      <c r="K17" s="3">
        <v>16</v>
      </c>
      <c r="L17" s="3">
        <v>14</v>
      </c>
      <c r="M17" s="3">
        <v>7</v>
      </c>
      <c r="N17" s="3">
        <v>12</v>
      </c>
      <c r="O17">
        <f t="shared" si="0"/>
        <v>240</v>
      </c>
      <c r="P17" s="32">
        <f>ROUNDUP(Table_Order_History[[#This Row],[Total_2024]]/_xlfn.XLOOKUP(Table_Order_History[[#This Row],[SKU_ID]],Tabelle6[SKU_ID],Tabelle6[Reorder_Qty_units],"-",0),0)</f>
        <v>4</v>
      </c>
      <c r="Q17" s="4">
        <f>Table_Order_History[[#This Row],[Total_2024]]*_xlfn.XLOOKUP(Table_Order_History[[#This Row],[SKU_ID]],Tabelle2[SKU_ID],Tabelle2[Unit_Selling_Price_€],0,0)</f>
        <v>14640</v>
      </c>
      <c r="R17" s="8">
        <f>RANK(Table_Order_History[[#This Row],[Total_Annual_Revenue]],Table_Order_History[Total_Annual_Revenue],0)</f>
        <v>9</v>
      </c>
    </row>
    <row r="18" spans="1:18" ht="15" customHeight="1" x14ac:dyDescent="0.2">
      <c r="A18" s="3" t="s">
        <v>85</v>
      </c>
      <c r="B18" s="3" t="s">
        <v>86</v>
      </c>
      <c r="C18" s="3">
        <v>2</v>
      </c>
      <c r="D18" s="3">
        <v>6</v>
      </c>
      <c r="E18" s="3">
        <v>1</v>
      </c>
      <c r="F18" s="3">
        <v>6</v>
      </c>
      <c r="G18" s="3">
        <v>5</v>
      </c>
      <c r="H18" s="3">
        <v>5</v>
      </c>
      <c r="I18" s="3">
        <v>7</v>
      </c>
      <c r="J18" s="3">
        <v>3</v>
      </c>
      <c r="K18" s="3">
        <v>5</v>
      </c>
      <c r="L18" s="3">
        <v>1</v>
      </c>
      <c r="M18" s="3">
        <v>2</v>
      </c>
      <c r="N18" s="3">
        <v>1</v>
      </c>
      <c r="O18">
        <f t="shared" si="0"/>
        <v>44</v>
      </c>
      <c r="P18" s="32">
        <f>ROUNDUP(Table_Order_History[[#This Row],[Total_2024]]/_xlfn.XLOOKUP(Table_Order_History[[#This Row],[SKU_ID]],Tabelle6[SKU_ID],Tabelle6[Reorder_Qty_units],"-",0),0)</f>
        <v>11</v>
      </c>
      <c r="Q18" s="4">
        <f>Table_Order_History[[#This Row],[Total_2024]]*_xlfn.XLOOKUP(Table_Order_History[[#This Row],[SKU_ID]],Tabelle2[SKU_ID],Tabelle2[Unit_Selling_Price_€],0,0)</f>
        <v>10120</v>
      </c>
      <c r="R18" s="8">
        <f>RANK(Table_Order_History[[#This Row],[Total_Annual_Revenue]],Table_Order_History[Total_Annual_Revenue],0)</f>
        <v>16</v>
      </c>
    </row>
    <row r="19" spans="1:18" ht="15" customHeight="1" x14ac:dyDescent="0.2">
      <c r="A19" s="3" t="s">
        <v>88</v>
      </c>
      <c r="B19" s="3" t="s">
        <v>89</v>
      </c>
      <c r="C19" s="3">
        <v>1</v>
      </c>
      <c r="D19" s="3">
        <v>2</v>
      </c>
      <c r="E19" s="3">
        <v>2</v>
      </c>
      <c r="F19" s="3">
        <v>3</v>
      </c>
      <c r="G19" s="3">
        <v>0</v>
      </c>
      <c r="H19" s="3">
        <v>5</v>
      </c>
      <c r="I19" s="3">
        <v>2</v>
      </c>
      <c r="J19" s="3">
        <v>4</v>
      </c>
      <c r="K19" s="3">
        <v>0</v>
      </c>
      <c r="L19" s="3">
        <v>1</v>
      </c>
      <c r="M19" s="3">
        <v>5</v>
      </c>
      <c r="N19" s="3">
        <v>0</v>
      </c>
      <c r="O19">
        <f t="shared" si="0"/>
        <v>25</v>
      </c>
      <c r="P19" s="32">
        <f>ROUNDUP(Table_Order_History[[#This Row],[Total_2024]]/_xlfn.XLOOKUP(Table_Order_History[[#This Row],[SKU_ID]],Tabelle6[SKU_ID],Tabelle6[Reorder_Qty_units],"-",0),0)</f>
        <v>13</v>
      </c>
      <c r="Q19" s="4">
        <f>Table_Order_History[[#This Row],[Total_2024]]*_xlfn.XLOOKUP(Table_Order_History[[#This Row],[SKU_ID]],Tabelle2[SKU_ID],Tabelle2[Unit_Selling_Price_€],0,0)</f>
        <v>6975</v>
      </c>
      <c r="R19" s="8">
        <f>RANK(Table_Order_History[[#This Row],[Total_Annual_Revenue]],Table_Order_History[Total_Annual_Revenue],0)</f>
        <v>28</v>
      </c>
    </row>
    <row r="20" spans="1:18" ht="15" customHeight="1" x14ac:dyDescent="0.2">
      <c r="A20" s="3" t="s">
        <v>91</v>
      </c>
      <c r="B20" s="3" t="s">
        <v>92</v>
      </c>
      <c r="C20" s="3">
        <v>49</v>
      </c>
      <c r="D20" s="3">
        <v>57</v>
      </c>
      <c r="E20" s="3">
        <v>66</v>
      </c>
      <c r="F20" s="3">
        <v>70</v>
      </c>
      <c r="G20" s="3">
        <v>74</v>
      </c>
      <c r="H20" s="3">
        <v>66</v>
      </c>
      <c r="I20" s="3">
        <v>56</v>
      </c>
      <c r="J20" s="3">
        <v>58</v>
      </c>
      <c r="K20" s="3">
        <v>62</v>
      </c>
      <c r="L20" s="3">
        <v>55</v>
      </c>
      <c r="M20" s="3">
        <v>43</v>
      </c>
      <c r="N20" s="3">
        <v>53</v>
      </c>
      <c r="O20">
        <f t="shared" si="0"/>
        <v>709</v>
      </c>
      <c r="P20" s="32">
        <f>ROUNDUP(Table_Order_History[[#This Row],[Total_2024]]/_xlfn.XLOOKUP(Table_Order_History[[#This Row],[SKU_ID]],Tabelle6[SKU_ID],Tabelle6[Reorder_Qty_units],"-",0),0)</f>
        <v>8</v>
      </c>
      <c r="Q20" s="4">
        <f>Table_Order_History[[#This Row],[Total_2024]]*_xlfn.XLOOKUP(Table_Order_History[[#This Row],[SKU_ID]],Tabelle2[SKU_ID],Tabelle2[Unit_Selling_Price_€],0,0)</f>
        <v>7799</v>
      </c>
      <c r="R20" s="8">
        <f>RANK(Table_Order_History[[#This Row],[Total_Annual_Revenue]],Table_Order_History[Total_Annual_Revenue],0)</f>
        <v>25</v>
      </c>
    </row>
    <row r="21" spans="1:18" ht="15" customHeight="1" x14ac:dyDescent="0.2">
      <c r="A21" s="3" t="s">
        <v>95</v>
      </c>
      <c r="B21" s="3" t="s">
        <v>96</v>
      </c>
      <c r="C21" s="3">
        <v>30</v>
      </c>
      <c r="D21" s="3">
        <v>34</v>
      </c>
      <c r="E21" s="3">
        <v>32</v>
      </c>
      <c r="F21" s="3">
        <v>32</v>
      </c>
      <c r="G21" s="3">
        <v>29</v>
      </c>
      <c r="H21" s="3">
        <v>29</v>
      </c>
      <c r="I21" s="3">
        <v>30</v>
      </c>
      <c r="J21" s="3">
        <v>29</v>
      </c>
      <c r="K21" s="3">
        <v>28</v>
      </c>
      <c r="L21" s="3">
        <v>23</v>
      </c>
      <c r="M21" s="3">
        <v>21</v>
      </c>
      <c r="N21" s="3">
        <v>22</v>
      </c>
      <c r="O21">
        <f t="shared" si="0"/>
        <v>339</v>
      </c>
      <c r="P21" s="32">
        <f>ROUNDUP(Table_Order_History[[#This Row],[Total_2024]]/_xlfn.XLOOKUP(Table_Order_History[[#This Row],[SKU_ID]],Tabelle6[SKU_ID],Tabelle6[Reorder_Qty_units],"-",0),0)</f>
        <v>12</v>
      </c>
      <c r="Q21" s="4">
        <f>Table_Order_History[[#This Row],[Total_2024]]*_xlfn.XLOOKUP(Table_Order_History[[#This Row],[SKU_ID]],Tabelle2[SKU_ID],Tabelle2[Unit_Selling_Price_€],0,0)</f>
        <v>6441</v>
      </c>
      <c r="R21" s="8">
        <f>RANK(Table_Order_History[[#This Row],[Total_Annual_Revenue]],Table_Order_History[Total_Annual_Revenue],0)</f>
        <v>32</v>
      </c>
    </row>
    <row r="22" spans="1:18" ht="15" customHeight="1" x14ac:dyDescent="0.2">
      <c r="A22" s="3" t="s">
        <v>98</v>
      </c>
      <c r="B22" s="3" t="s">
        <v>99</v>
      </c>
      <c r="C22" s="3">
        <v>17</v>
      </c>
      <c r="D22" s="3">
        <v>24</v>
      </c>
      <c r="E22" s="3">
        <v>18</v>
      </c>
      <c r="F22" s="3">
        <v>25</v>
      </c>
      <c r="G22" s="3">
        <v>27</v>
      </c>
      <c r="H22" s="3">
        <v>29</v>
      </c>
      <c r="I22" s="3">
        <v>24</v>
      </c>
      <c r="J22" s="3">
        <v>25</v>
      </c>
      <c r="K22" s="3">
        <v>19</v>
      </c>
      <c r="L22" s="3">
        <v>17</v>
      </c>
      <c r="M22" s="3">
        <v>16</v>
      </c>
      <c r="N22" s="3">
        <v>23</v>
      </c>
      <c r="O22">
        <f t="shared" si="0"/>
        <v>264</v>
      </c>
      <c r="P22" s="32">
        <f>ROUNDUP(Table_Order_History[[#This Row],[Total_2024]]/_xlfn.XLOOKUP(Table_Order_History[[#This Row],[SKU_ID]],Tabelle6[SKU_ID],Tabelle6[Reorder_Qty_units],"-",0),0)</f>
        <v>6</v>
      </c>
      <c r="Q22" s="4">
        <f>Table_Order_History[[#This Row],[Total_2024]]*_xlfn.XLOOKUP(Table_Order_History[[#This Row],[SKU_ID]],Tabelle2[SKU_ID],Tabelle2[Unit_Selling_Price_€],0,0)</f>
        <v>3432</v>
      </c>
      <c r="R22" s="8">
        <f>RANK(Table_Order_History[[#This Row],[Total_Annual_Revenue]],Table_Order_History[Total_Annual_Revenue],0)</f>
        <v>38</v>
      </c>
    </row>
    <row r="23" spans="1:18" ht="15" customHeight="1" x14ac:dyDescent="0.2">
      <c r="A23" s="3" t="s">
        <v>101</v>
      </c>
      <c r="B23" s="3" t="s">
        <v>102</v>
      </c>
      <c r="C23" s="3">
        <v>6</v>
      </c>
      <c r="D23" s="3">
        <v>6</v>
      </c>
      <c r="E23" s="3">
        <v>13</v>
      </c>
      <c r="F23" s="3">
        <v>7</v>
      </c>
      <c r="G23" s="3">
        <v>8</v>
      </c>
      <c r="H23" s="3">
        <v>7</v>
      </c>
      <c r="I23" s="3">
        <v>6</v>
      </c>
      <c r="J23" s="3">
        <v>10</v>
      </c>
      <c r="K23" s="3">
        <v>7</v>
      </c>
      <c r="L23" s="3">
        <v>0</v>
      </c>
      <c r="M23" s="3">
        <v>2</v>
      </c>
      <c r="N23" s="3">
        <v>4</v>
      </c>
      <c r="O23">
        <f t="shared" si="0"/>
        <v>76</v>
      </c>
      <c r="P23" s="32">
        <f>ROUNDUP(Table_Order_History[[#This Row],[Total_2024]]/_xlfn.XLOOKUP(Table_Order_History[[#This Row],[SKU_ID]],Tabelle6[SKU_ID],Tabelle6[Reorder_Qty_units],"-",0),0)</f>
        <v>13</v>
      </c>
      <c r="Q23" s="4">
        <f>Table_Order_History[[#This Row],[Total_2024]]*_xlfn.XLOOKUP(Table_Order_History[[#This Row],[SKU_ID]],Tabelle2[SKU_ID],Tabelle2[Unit_Selling_Price_€],0,0)</f>
        <v>23560</v>
      </c>
      <c r="R23" s="8">
        <f>RANK(Table_Order_History[[#This Row],[Total_Annual_Revenue]],Table_Order_History[Total_Annual_Revenue],0)</f>
        <v>2</v>
      </c>
    </row>
    <row r="24" spans="1:18" ht="15" customHeight="1" x14ac:dyDescent="0.2">
      <c r="A24" s="3" t="s">
        <v>104</v>
      </c>
      <c r="B24" s="3" t="s">
        <v>105</v>
      </c>
      <c r="C24" s="3">
        <v>2</v>
      </c>
      <c r="D24" s="3">
        <v>1</v>
      </c>
      <c r="E24" s="3">
        <v>0</v>
      </c>
      <c r="F24" s="3">
        <v>1</v>
      </c>
      <c r="G24" s="3">
        <v>3</v>
      </c>
      <c r="H24" s="3">
        <v>3</v>
      </c>
      <c r="I24" s="3">
        <v>3</v>
      </c>
      <c r="J24" s="3">
        <v>1</v>
      </c>
      <c r="K24" s="3">
        <v>0</v>
      </c>
      <c r="L24" s="3">
        <v>0</v>
      </c>
      <c r="M24" s="3">
        <v>1</v>
      </c>
      <c r="N24" s="3">
        <v>2</v>
      </c>
      <c r="O24">
        <f t="shared" si="0"/>
        <v>17</v>
      </c>
      <c r="P24" s="32">
        <f>ROUNDUP(Table_Order_History[[#This Row],[Total_2024]]/_xlfn.XLOOKUP(Table_Order_History[[#This Row],[SKU_ID]],Tabelle6[SKU_ID],Tabelle6[Reorder_Qty_units],"-",0),0)</f>
        <v>3</v>
      </c>
      <c r="Q24" s="4">
        <f>Table_Order_History[[#This Row],[Total_2024]]*_xlfn.XLOOKUP(Table_Order_History[[#This Row],[SKU_ID]],Tabelle2[SKU_ID],Tabelle2[Unit_Selling_Price_€],0,0)</f>
        <v>11220</v>
      </c>
      <c r="R24" s="8">
        <f>RANK(Table_Order_History[[#This Row],[Total_Annual_Revenue]],Table_Order_History[Total_Annual_Revenue],0)</f>
        <v>14</v>
      </c>
    </row>
    <row r="25" spans="1:18" ht="15" customHeight="1" x14ac:dyDescent="0.2">
      <c r="A25" s="3" t="s">
        <v>107</v>
      </c>
      <c r="B25" s="3" t="s">
        <v>108</v>
      </c>
      <c r="C25" s="3">
        <v>8</v>
      </c>
      <c r="D25" s="3">
        <v>9</v>
      </c>
      <c r="E25" s="3">
        <v>8</v>
      </c>
      <c r="F25" s="3">
        <v>12</v>
      </c>
      <c r="G25" s="3">
        <v>10</v>
      </c>
      <c r="H25" s="3">
        <v>8</v>
      </c>
      <c r="I25" s="3">
        <v>7</v>
      </c>
      <c r="J25" s="3">
        <v>6</v>
      </c>
      <c r="K25" s="3">
        <v>1</v>
      </c>
      <c r="L25" s="3">
        <v>5</v>
      </c>
      <c r="M25" s="3">
        <v>5</v>
      </c>
      <c r="N25" s="3">
        <v>4</v>
      </c>
      <c r="O25">
        <f t="shared" si="0"/>
        <v>83</v>
      </c>
      <c r="P25" s="32">
        <f>ROUNDUP(Table_Order_History[[#This Row],[Total_2024]]/_xlfn.XLOOKUP(Table_Order_History[[#This Row],[SKU_ID]],Tabelle6[SKU_ID],Tabelle6[Reorder_Qty_units],"-",0),0)</f>
        <v>7</v>
      </c>
      <c r="Q25" s="4">
        <f>Table_Order_History[[#This Row],[Total_2024]]*_xlfn.XLOOKUP(Table_Order_History[[#This Row],[SKU_ID]],Tabelle2[SKU_ID],Tabelle2[Unit_Selling_Price_€],0,0)</f>
        <v>11620</v>
      </c>
      <c r="R25" s="8">
        <f>RANK(Table_Order_History[[#This Row],[Total_Annual_Revenue]],Table_Order_History[Total_Annual_Revenue],0)</f>
        <v>13</v>
      </c>
    </row>
    <row r="26" spans="1:18" ht="15" customHeight="1" x14ac:dyDescent="0.2">
      <c r="A26" s="3" t="s">
        <v>110</v>
      </c>
      <c r="B26" s="3" t="s">
        <v>111</v>
      </c>
      <c r="C26" s="3">
        <v>20</v>
      </c>
      <c r="D26" s="3">
        <v>26</v>
      </c>
      <c r="E26" s="3">
        <v>34</v>
      </c>
      <c r="F26" s="3">
        <v>29</v>
      </c>
      <c r="G26" s="3">
        <v>28</v>
      </c>
      <c r="H26" s="3">
        <v>27</v>
      </c>
      <c r="I26" s="3">
        <v>27</v>
      </c>
      <c r="J26" s="3">
        <v>20</v>
      </c>
      <c r="K26" s="3">
        <v>22</v>
      </c>
      <c r="L26" s="3">
        <v>21</v>
      </c>
      <c r="M26" s="3">
        <v>27</v>
      </c>
      <c r="N26" s="3">
        <v>24</v>
      </c>
      <c r="O26">
        <f t="shared" si="0"/>
        <v>305</v>
      </c>
      <c r="P26" s="32">
        <f>ROUNDUP(Table_Order_History[[#This Row],[Total_2024]]/_xlfn.XLOOKUP(Table_Order_History[[#This Row],[SKU_ID]],Tabelle6[SKU_ID],Tabelle6[Reorder_Qty_units],"-",0),0)</f>
        <v>12</v>
      </c>
      <c r="Q26" s="4">
        <f>Table_Order_History[[#This Row],[Total_2024]]*_xlfn.XLOOKUP(Table_Order_History[[#This Row],[SKU_ID]],Tabelle2[SKU_ID],Tabelle2[Unit_Selling_Price_€],0,0)</f>
        <v>7015</v>
      </c>
      <c r="R26" s="8">
        <f>RANK(Table_Order_History[[#This Row],[Total_Annual_Revenue]],Table_Order_History[Total_Annual_Revenue],0)</f>
        <v>27</v>
      </c>
    </row>
    <row r="27" spans="1:18" ht="15" customHeight="1" x14ac:dyDescent="0.2">
      <c r="A27" s="3" t="s">
        <v>113</v>
      </c>
      <c r="B27" s="3" t="s">
        <v>114</v>
      </c>
      <c r="C27" s="3">
        <v>13</v>
      </c>
      <c r="D27" s="3">
        <v>10</v>
      </c>
      <c r="E27" s="3">
        <v>15</v>
      </c>
      <c r="F27" s="3">
        <v>12</v>
      </c>
      <c r="G27" s="3">
        <v>16</v>
      </c>
      <c r="H27" s="3">
        <v>16</v>
      </c>
      <c r="I27" s="3">
        <v>12</v>
      </c>
      <c r="J27" s="3">
        <v>17</v>
      </c>
      <c r="K27" s="3">
        <v>12</v>
      </c>
      <c r="L27" s="3">
        <v>5</v>
      </c>
      <c r="M27" s="3">
        <v>10</v>
      </c>
      <c r="N27" s="3">
        <v>8</v>
      </c>
      <c r="O27">
        <f t="shared" si="0"/>
        <v>146</v>
      </c>
      <c r="P27" s="32">
        <f>ROUNDUP(Table_Order_History[[#This Row],[Total_2024]]/_xlfn.XLOOKUP(Table_Order_History[[#This Row],[SKU_ID]],Tabelle6[SKU_ID],Tabelle6[Reorder_Qty_units],"-",0),0)</f>
        <v>4</v>
      </c>
      <c r="Q27" s="4">
        <f>Table_Order_History[[#This Row],[Total_2024]]*_xlfn.XLOOKUP(Table_Order_History[[#This Row],[SKU_ID]],Tabelle2[SKU_ID],Tabelle2[Unit_Selling_Price_€],0,0)</f>
        <v>6862</v>
      </c>
      <c r="R27" s="8">
        <f>RANK(Table_Order_History[[#This Row],[Total_Annual_Revenue]],Table_Order_History[Total_Annual_Revenue],0)</f>
        <v>30</v>
      </c>
    </row>
    <row r="28" spans="1:18" ht="15" customHeight="1" x14ac:dyDescent="0.2">
      <c r="A28" s="3" t="s">
        <v>116</v>
      </c>
      <c r="B28" s="3" t="s">
        <v>117</v>
      </c>
      <c r="C28" s="3">
        <v>5</v>
      </c>
      <c r="D28" s="3">
        <v>7</v>
      </c>
      <c r="E28" s="3">
        <v>8</v>
      </c>
      <c r="F28" s="3">
        <v>4</v>
      </c>
      <c r="G28" s="3">
        <v>6</v>
      </c>
      <c r="H28" s="3">
        <v>9</v>
      </c>
      <c r="I28" s="3">
        <v>9</v>
      </c>
      <c r="J28" s="3">
        <v>9</v>
      </c>
      <c r="K28" s="3">
        <v>8</v>
      </c>
      <c r="L28" s="3">
        <v>1</v>
      </c>
      <c r="M28" s="3">
        <v>5</v>
      </c>
      <c r="N28" s="3">
        <v>1</v>
      </c>
      <c r="O28">
        <f t="shared" si="0"/>
        <v>72</v>
      </c>
      <c r="P28" s="32">
        <f>ROUNDUP(Table_Order_History[[#This Row],[Total_2024]]/_xlfn.XLOOKUP(Table_Order_History[[#This Row],[SKU_ID]],Tabelle6[SKU_ID],Tabelle6[Reorder_Qty_units],"-",0),0)</f>
        <v>6</v>
      </c>
      <c r="Q28" s="4">
        <f>Table_Order_History[[#This Row],[Total_2024]]*_xlfn.XLOOKUP(Table_Order_History[[#This Row],[SKU_ID]],Tabelle2[SKU_ID],Tabelle2[Unit_Selling_Price_€],0,0)</f>
        <v>8280</v>
      </c>
      <c r="R28" s="8">
        <f>RANK(Table_Order_History[[#This Row],[Total_Annual_Revenue]],Table_Order_History[Total_Annual_Revenue],0)</f>
        <v>23</v>
      </c>
    </row>
    <row r="29" spans="1:18" ht="15" customHeight="1" x14ac:dyDescent="0.2">
      <c r="A29" s="3" t="s">
        <v>120</v>
      </c>
      <c r="B29" s="3" t="s">
        <v>121</v>
      </c>
      <c r="C29" s="3">
        <v>6</v>
      </c>
      <c r="D29" s="3">
        <v>5</v>
      </c>
      <c r="E29" s="3">
        <v>4</v>
      </c>
      <c r="F29" s="3">
        <v>10</v>
      </c>
      <c r="G29" s="3">
        <v>8</v>
      </c>
      <c r="H29" s="3">
        <v>4</v>
      </c>
      <c r="I29" s="3">
        <v>6</v>
      </c>
      <c r="J29" s="3">
        <v>4</v>
      </c>
      <c r="K29" s="3">
        <v>4</v>
      </c>
      <c r="L29" s="3">
        <v>3</v>
      </c>
      <c r="M29" s="3">
        <v>5</v>
      </c>
      <c r="N29" s="3">
        <v>1</v>
      </c>
      <c r="O29">
        <f t="shared" si="0"/>
        <v>60</v>
      </c>
      <c r="P29" s="32">
        <f>ROUNDUP(Table_Order_History[[#This Row],[Total_2024]]/_xlfn.XLOOKUP(Table_Order_History[[#This Row],[SKU_ID]],Tabelle6[SKU_ID],Tabelle6[Reorder_Qty_units],"-",0),0)</f>
        <v>5</v>
      </c>
      <c r="Q29" s="4">
        <f>Table_Order_History[[#This Row],[Total_2024]]*_xlfn.XLOOKUP(Table_Order_History[[#This Row],[SKU_ID]],Tabelle2[SKU_ID],Tabelle2[Unit_Selling_Price_€],0,0)</f>
        <v>6540</v>
      </c>
      <c r="R29" s="8">
        <f>RANK(Table_Order_History[[#This Row],[Total_Annual_Revenue]],Table_Order_History[Total_Annual_Revenue],0)</f>
        <v>31</v>
      </c>
    </row>
    <row r="30" spans="1:18" ht="15" customHeight="1" x14ac:dyDescent="0.2">
      <c r="A30" s="3" t="s">
        <v>123</v>
      </c>
      <c r="B30" s="3" t="s">
        <v>124</v>
      </c>
      <c r="C30" s="3">
        <v>8</v>
      </c>
      <c r="D30" s="3">
        <v>12</v>
      </c>
      <c r="E30" s="3">
        <v>7</v>
      </c>
      <c r="F30" s="3">
        <v>10</v>
      </c>
      <c r="G30" s="3">
        <v>10</v>
      </c>
      <c r="H30" s="3">
        <v>8</v>
      </c>
      <c r="I30" s="3">
        <v>10</v>
      </c>
      <c r="J30" s="3">
        <v>8</v>
      </c>
      <c r="K30" s="3">
        <v>5</v>
      </c>
      <c r="L30" s="3">
        <v>10</v>
      </c>
      <c r="M30" s="3">
        <v>8</v>
      </c>
      <c r="N30" s="3">
        <v>6</v>
      </c>
      <c r="O30">
        <f t="shared" si="0"/>
        <v>102</v>
      </c>
      <c r="P30" s="32">
        <f>ROUNDUP(Table_Order_History[[#This Row],[Total_2024]]/_xlfn.XLOOKUP(Table_Order_History[[#This Row],[SKU_ID]],Tabelle6[SKU_ID],Tabelle6[Reorder_Qty_units],"-",0),0)</f>
        <v>6</v>
      </c>
      <c r="Q30" s="4">
        <f>Table_Order_History[[#This Row],[Total_2024]]*_xlfn.XLOOKUP(Table_Order_History[[#This Row],[SKU_ID]],Tabelle2[SKU_ID],Tabelle2[Unit_Selling_Price_€],0,0)</f>
        <v>6936</v>
      </c>
      <c r="R30" s="8">
        <f>RANK(Table_Order_History[[#This Row],[Total_Annual_Revenue]],Table_Order_History[Total_Annual_Revenue],0)</f>
        <v>29</v>
      </c>
    </row>
    <row r="31" spans="1:18" ht="15" customHeight="1" x14ac:dyDescent="0.2">
      <c r="A31" s="3" t="s">
        <v>126</v>
      </c>
      <c r="B31" s="3" t="s">
        <v>127</v>
      </c>
      <c r="C31" s="3">
        <v>15</v>
      </c>
      <c r="D31" s="3">
        <v>18</v>
      </c>
      <c r="E31" s="3">
        <v>27</v>
      </c>
      <c r="F31" s="3">
        <v>25</v>
      </c>
      <c r="G31" s="3">
        <v>27</v>
      </c>
      <c r="H31" s="3">
        <v>25</v>
      </c>
      <c r="I31" s="3">
        <v>25</v>
      </c>
      <c r="J31" s="3">
        <v>20</v>
      </c>
      <c r="K31" s="3">
        <v>19</v>
      </c>
      <c r="L31" s="3">
        <v>14</v>
      </c>
      <c r="M31" s="3">
        <v>16</v>
      </c>
      <c r="N31" s="3">
        <v>17</v>
      </c>
      <c r="O31">
        <f t="shared" si="0"/>
        <v>248</v>
      </c>
      <c r="P31" s="32">
        <f>ROUNDUP(Table_Order_History[[#This Row],[Total_2024]]/_xlfn.XLOOKUP(Table_Order_History[[#This Row],[SKU_ID]],Tabelle6[SKU_ID],Tabelle6[Reorder_Qty_units],"-",0),0)</f>
        <v>6</v>
      </c>
      <c r="Q31" s="4">
        <f>Table_Order_History[[#This Row],[Total_2024]]*_xlfn.XLOOKUP(Table_Order_History[[#This Row],[SKU_ID]],Tabelle2[SKU_ID],Tabelle2[Unit_Selling_Price_€],0,0)</f>
        <v>8432</v>
      </c>
      <c r="R31" s="8">
        <f>RANK(Table_Order_History[[#This Row],[Total_Annual_Revenue]],Table_Order_History[Total_Annual_Revenue],0)</f>
        <v>22</v>
      </c>
    </row>
    <row r="32" spans="1:18" ht="15" customHeight="1" x14ac:dyDescent="0.2">
      <c r="A32" s="3" t="s">
        <v>128</v>
      </c>
      <c r="B32" s="3" t="s">
        <v>129</v>
      </c>
      <c r="C32" s="3">
        <v>8</v>
      </c>
      <c r="D32" s="3">
        <v>8</v>
      </c>
      <c r="E32" s="3">
        <v>10</v>
      </c>
      <c r="F32" s="3">
        <v>11</v>
      </c>
      <c r="G32" s="3">
        <v>11</v>
      </c>
      <c r="H32" s="3">
        <v>14</v>
      </c>
      <c r="I32" s="3">
        <v>11</v>
      </c>
      <c r="J32" s="3">
        <v>13</v>
      </c>
      <c r="K32" s="3">
        <v>13</v>
      </c>
      <c r="L32" s="3">
        <v>7</v>
      </c>
      <c r="M32" s="3">
        <v>4</v>
      </c>
      <c r="N32" s="3">
        <v>7</v>
      </c>
      <c r="O32">
        <f t="shared" si="0"/>
        <v>117</v>
      </c>
      <c r="P32" s="32">
        <f>ROUNDUP(Table_Order_History[[#This Row],[Total_2024]]/_xlfn.XLOOKUP(Table_Order_History[[#This Row],[SKU_ID]],Tabelle6[SKU_ID],Tabelle6[Reorder_Qty_units],"-",0),0)</f>
        <v>11</v>
      </c>
      <c r="Q32" s="4">
        <f>Table_Order_History[[#This Row],[Total_2024]]*_xlfn.XLOOKUP(Table_Order_History[[#This Row],[SKU_ID]],Tabelle2[SKU_ID],Tabelle2[Unit_Selling_Price_€],0,0)</f>
        <v>6435</v>
      </c>
      <c r="R32" s="8">
        <f>RANK(Table_Order_History[[#This Row],[Total_Annual_Revenue]],Table_Order_History[Total_Annual_Revenue],0)</f>
        <v>33</v>
      </c>
    </row>
    <row r="33" spans="1:18" ht="15" customHeight="1" x14ac:dyDescent="0.2">
      <c r="A33" s="3" t="s">
        <v>130</v>
      </c>
      <c r="B33" s="3" t="s">
        <v>131</v>
      </c>
      <c r="C33" s="3">
        <v>4</v>
      </c>
      <c r="D33" s="3">
        <v>3</v>
      </c>
      <c r="E33" s="3">
        <v>6</v>
      </c>
      <c r="F33" s="3">
        <v>7</v>
      </c>
      <c r="G33" s="3">
        <v>6</v>
      </c>
      <c r="H33" s="3">
        <v>6</v>
      </c>
      <c r="I33" s="3">
        <v>5</v>
      </c>
      <c r="J33" s="3">
        <v>8</v>
      </c>
      <c r="K33" s="3">
        <v>4</v>
      </c>
      <c r="L33" s="3">
        <v>2</v>
      </c>
      <c r="M33" s="3">
        <v>2</v>
      </c>
      <c r="N33" s="3">
        <v>5</v>
      </c>
      <c r="O33">
        <f t="shared" si="0"/>
        <v>58</v>
      </c>
      <c r="P33" s="32">
        <f>ROUNDUP(Table_Order_History[[#This Row],[Total_2024]]/_xlfn.XLOOKUP(Table_Order_History[[#This Row],[SKU_ID]],Tabelle6[SKU_ID],Tabelle6[Reorder_Qty_units],"-",0),0)</f>
        <v>4</v>
      </c>
      <c r="Q33" s="4">
        <f>Table_Order_History[[#This Row],[Total_2024]]*_xlfn.XLOOKUP(Table_Order_History[[#This Row],[SKU_ID]],Tabelle2[SKU_ID],Tabelle2[Unit_Selling_Price_€],0,0)</f>
        <v>10324</v>
      </c>
      <c r="R33" s="8">
        <f>RANK(Table_Order_History[[#This Row],[Total_Annual_Revenue]],Table_Order_History[Total_Annual_Revenue],0)</f>
        <v>15</v>
      </c>
    </row>
    <row r="34" spans="1:18" ht="15" customHeight="1" x14ac:dyDescent="0.2">
      <c r="A34" s="3" t="s">
        <v>133</v>
      </c>
      <c r="B34" s="3" t="s">
        <v>134</v>
      </c>
      <c r="C34" s="3">
        <v>4</v>
      </c>
      <c r="D34" s="3">
        <v>7</v>
      </c>
      <c r="E34" s="3">
        <v>8</v>
      </c>
      <c r="F34" s="3">
        <v>9</v>
      </c>
      <c r="G34" s="3">
        <v>10</v>
      </c>
      <c r="H34" s="3">
        <v>7</v>
      </c>
      <c r="I34" s="3">
        <v>9</v>
      </c>
      <c r="J34" s="3">
        <v>5</v>
      </c>
      <c r="K34" s="3">
        <v>4</v>
      </c>
      <c r="L34" s="3">
        <v>6</v>
      </c>
      <c r="M34" s="3">
        <v>5</v>
      </c>
      <c r="N34" s="3">
        <v>4</v>
      </c>
      <c r="O34">
        <f t="shared" si="0"/>
        <v>78</v>
      </c>
      <c r="P34" s="32">
        <f>ROUNDUP(Table_Order_History[[#This Row],[Total_2024]]/_xlfn.XLOOKUP(Table_Order_History[[#This Row],[SKU_ID]],Tabelle6[SKU_ID],Tabelle6[Reorder_Qty_units],"-",0),0)</f>
        <v>4</v>
      </c>
      <c r="Q34" s="4">
        <f>Table_Order_History[[#This Row],[Total_2024]]*_xlfn.XLOOKUP(Table_Order_History[[#This Row],[SKU_ID]],Tabelle2[SKU_ID],Tabelle2[Unit_Selling_Price_€],0,0)</f>
        <v>9750</v>
      </c>
      <c r="R34" s="8">
        <f>RANK(Table_Order_History[[#This Row],[Total_Annual_Revenue]],Table_Order_History[Total_Annual_Revenue],0)</f>
        <v>19</v>
      </c>
    </row>
    <row r="35" spans="1:18" ht="15" customHeight="1" x14ac:dyDescent="0.2">
      <c r="A35" s="3" t="s">
        <v>135</v>
      </c>
      <c r="B35" s="3" t="s">
        <v>136</v>
      </c>
      <c r="C35" s="3">
        <v>5</v>
      </c>
      <c r="D35" s="3">
        <v>9</v>
      </c>
      <c r="E35" s="3">
        <v>8</v>
      </c>
      <c r="F35" s="3">
        <v>8</v>
      </c>
      <c r="G35" s="3">
        <v>9</v>
      </c>
      <c r="H35" s="3">
        <v>10</v>
      </c>
      <c r="I35" s="3">
        <v>5</v>
      </c>
      <c r="J35" s="3">
        <v>9</v>
      </c>
      <c r="K35" s="3">
        <v>7</v>
      </c>
      <c r="L35" s="3">
        <v>5</v>
      </c>
      <c r="M35" s="3">
        <v>8</v>
      </c>
      <c r="N35" s="3">
        <v>7</v>
      </c>
      <c r="O35">
        <f t="shared" si="0"/>
        <v>90</v>
      </c>
      <c r="P35" s="32">
        <f>ROUNDUP(Table_Order_History[[#This Row],[Total_2024]]/_xlfn.XLOOKUP(Table_Order_History[[#This Row],[SKU_ID]],Tabelle6[SKU_ID],Tabelle6[Reorder_Qty_units],"-",0),0)</f>
        <v>5</v>
      </c>
      <c r="Q35" s="4">
        <f>Table_Order_History[[#This Row],[Total_2024]]*_xlfn.XLOOKUP(Table_Order_History[[#This Row],[SKU_ID]],Tabelle2[SKU_ID],Tabelle2[Unit_Selling_Price_€],0,0)</f>
        <v>9810</v>
      </c>
      <c r="R35" s="8">
        <f>RANK(Table_Order_History[[#This Row],[Total_Annual_Revenue]],Table_Order_History[Total_Annual_Revenue],0)</f>
        <v>17</v>
      </c>
    </row>
    <row r="36" spans="1:18" ht="15" customHeight="1" x14ac:dyDescent="0.2">
      <c r="A36" s="3" t="s">
        <v>138</v>
      </c>
      <c r="B36" s="3" t="s">
        <v>139</v>
      </c>
      <c r="C36" s="3">
        <v>11</v>
      </c>
      <c r="D36" s="3">
        <v>13</v>
      </c>
      <c r="E36" s="3">
        <v>19</v>
      </c>
      <c r="F36" s="3">
        <v>14</v>
      </c>
      <c r="G36" s="3">
        <v>18</v>
      </c>
      <c r="H36" s="3">
        <v>17</v>
      </c>
      <c r="I36" s="3">
        <v>17</v>
      </c>
      <c r="J36" s="3">
        <v>16</v>
      </c>
      <c r="K36" s="3">
        <v>13</v>
      </c>
      <c r="L36" s="3">
        <v>15</v>
      </c>
      <c r="M36" s="3">
        <v>12</v>
      </c>
      <c r="N36" s="3">
        <v>11</v>
      </c>
      <c r="O36">
        <f t="shared" si="0"/>
        <v>176</v>
      </c>
      <c r="P36" s="32">
        <f>ROUNDUP(Table_Order_History[[#This Row],[Total_2024]]/_xlfn.XLOOKUP(Table_Order_History[[#This Row],[SKU_ID]],Tabelle6[SKU_ID],Tabelle6[Reorder_Qty_units],"-",0),0)</f>
        <v>4</v>
      </c>
      <c r="Q36" s="4">
        <f>Table_Order_History[[#This Row],[Total_2024]]*_xlfn.XLOOKUP(Table_Order_History[[#This Row],[SKU_ID]],Tabelle2[SKU_ID],Tabelle2[Unit_Selling_Price_€],0,0)</f>
        <v>5104</v>
      </c>
      <c r="R36" s="8">
        <f>RANK(Table_Order_History[[#This Row],[Total_Annual_Revenue]],Table_Order_History[Total_Annual_Revenue],0)</f>
        <v>35</v>
      </c>
    </row>
    <row r="37" spans="1:18" ht="15" customHeight="1" x14ac:dyDescent="0.2">
      <c r="A37" s="3" t="s">
        <v>141</v>
      </c>
      <c r="B37" s="3" t="s">
        <v>142</v>
      </c>
      <c r="C37" s="3">
        <v>6</v>
      </c>
      <c r="D37" s="3">
        <v>11</v>
      </c>
      <c r="E37" s="3">
        <v>13</v>
      </c>
      <c r="F37" s="3">
        <v>15</v>
      </c>
      <c r="G37" s="3">
        <v>12</v>
      </c>
      <c r="H37" s="3">
        <v>13</v>
      </c>
      <c r="I37" s="3">
        <v>11</v>
      </c>
      <c r="J37" s="3">
        <v>10</v>
      </c>
      <c r="K37" s="3">
        <v>9</v>
      </c>
      <c r="L37" s="3">
        <v>4</v>
      </c>
      <c r="M37" s="3">
        <v>9</v>
      </c>
      <c r="N37" s="3">
        <v>9</v>
      </c>
      <c r="O37">
        <f t="shared" si="0"/>
        <v>122</v>
      </c>
      <c r="P37" s="32">
        <f>ROUNDUP(Table_Order_History[[#This Row],[Total_2024]]/_xlfn.XLOOKUP(Table_Order_History[[#This Row],[SKU_ID]],Tabelle6[SKU_ID],Tabelle6[Reorder_Qty_units],"-",0),0)</f>
        <v>8</v>
      </c>
      <c r="Q37" s="4">
        <f>Table_Order_History[[#This Row],[Total_2024]]*_xlfn.XLOOKUP(Table_Order_History[[#This Row],[SKU_ID]],Tabelle2[SKU_ID],Tabelle2[Unit_Selling_Price_€],0,0)</f>
        <v>4392</v>
      </c>
      <c r="R37" s="8">
        <f>RANK(Table_Order_History[[#This Row],[Total_Annual_Revenue]],Table_Order_History[Total_Annual_Revenue],0)</f>
        <v>36</v>
      </c>
    </row>
    <row r="38" spans="1:18" ht="15" customHeight="1" x14ac:dyDescent="0.2">
      <c r="A38" s="3" t="s">
        <v>144</v>
      </c>
      <c r="B38" s="3" t="s">
        <v>145</v>
      </c>
      <c r="C38" s="3">
        <v>10</v>
      </c>
      <c r="D38" s="3">
        <v>13</v>
      </c>
      <c r="E38" s="3">
        <v>9</v>
      </c>
      <c r="F38" s="3">
        <v>11</v>
      </c>
      <c r="G38" s="3">
        <v>11</v>
      </c>
      <c r="H38" s="3">
        <v>15</v>
      </c>
      <c r="I38" s="3">
        <v>7</v>
      </c>
      <c r="J38" s="3">
        <v>10</v>
      </c>
      <c r="K38" s="3">
        <v>5</v>
      </c>
      <c r="L38" s="3">
        <v>2</v>
      </c>
      <c r="M38" s="3">
        <v>3</v>
      </c>
      <c r="N38" s="3">
        <v>5</v>
      </c>
      <c r="O38">
        <f t="shared" si="0"/>
        <v>101</v>
      </c>
      <c r="P38" s="32">
        <f>ROUNDUP(Table_Order_History[[#This Row],[Total_2024]]/_xlfn.XLOOKUP(Table_Order_History[[#This Row],[SKU_ID]],Tabelle6[SKU_ID],Tabelle6[Reorder_Qty_units],"-",0),0)</f>
        <v>11</v>
      </c>
      <c r="Q38" s="4">
        <f>Table_Order_History[[#This Row],[Total_2024]]*_xlfn.XLOOKUP(Table_Order_History[[#This Row],[SKU_ID]],Tabelle2[SKU_ID],Tabelle2[Unit_Selling_Price_€],0,0)</f>
        <v>7272</v>
      </c>
      <c r="R38" s="8">
        <f>RANK(Table_Order_History[[#This Row],[Total_Annual_Revenue]],Table_Order_History[Total_Annual_Revenue],0)</f>
        <v>26</v>
      </c>
    </row>
    <row r="39" spans="1:18" ht="15" customHeight="1" x14ac:dyDescent="0.2">
      <c r="A39" s="3" t="s">
        <v>146</v>
      </c>
      <c r="B39" s="3" t="s">
        <v>147</v>
      </c>
      <c r="C39" s="3">
        <v>13</v>
      </c>
      <c r="D39" s="3">
        <v>10</v>
      </c>
      <c r="E39" s="3">
        <v>13</v>
      </c>
      <c r="F39" s="3">
        <v>12</v>
      </c>
      <c r="G39" s="3">
        <v>16</v>
      </c>
      <c r="H39" s="3">
        <v>12</v>
      </c>
      <c r="I39" s="3">
        <v>17</v>
      </c>
      <c r="J39" s="3">
        <v>10</v>
      </c>
      <c r="K39" s="3">
        <v>9</v>
      </c>
      <c r="L39" s="3">
        <v>10</v>
      </c>
      <c r="M39" s="3">
        <v>9</v>
      </c>
      <c r="N39" s="3">
        <v>13</v>
      </c>
      <c r="O39">
        <f t="shared" si="0"/>
        <v>144</v>
      </c>
      <c r="P39" s="32">
        <f>ROUNDUP(Table_Order_History[[#This Row],[Total_2024]]/_xlfn.XLOOKUP(Table_Order_History[[#This Row],[SKU_ID]],Tabelle6[SKU_ID],Tabelle6[Reorder_Qty_units],"-",0),0)</f>
        <v>4</v>
      </c>
      <c r="Q39" s="4">
        <f>Table_Order_History[[#This Row],[Total_2024]]*_xlfn.XLOOKUP(Table_Order_History[[#This Row],[SKU_ID]],Tabelle2[SKU_ID],Tabelle2[Unit_Selling_Price_€],0,0)</f>
        <v>8064</v>
      </c>
      <c r="R39" s="8">
        <f>RANK(Table_Order_History[[#This Row],[Total_Annual_Revenue]],Table_Order_History[Total_Annual_Revenue],0)</f>
        <v>24</v>
      </c>
    </row>
    <row r="40" spans="1:18" ht="19" customHeight="1" x14ac:dyDescent="0.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23">
        <f>SUM(Table_Order_History[Total_2024])</f>
        <v>7079</v>
      </c>
      <c r="P40" s="23">
        <f>SUBTOTAL(109,Table_Order_History[Total_Orders_2024])</f>
        <v>266</v>
      </c>
      <c r="Q40" s="4"/>
      <c r="R40" s="8"/>
    </row>
    <row r="41" spans="1:18" ht="64" x14ac:dyDescent="0.2">
      <c r="P41" s="31" t="s">
        <v>567</v>
      </c>
    </row>
  </sheetData>
  <phoneticPr fontId="9" type="noConversion"/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BE1AC-C653-9E4F-B81F-209F0ED752DC}">
  <dimension ref="A1:N44"/>
  <sheetViews>
    <sheetView zoomScaleNormal="100" workbookViewId="0">
      <selection activeCell="N8" sqref="N8"/>
    </sheetView>
  </sheetViews>
  <sheetFormatPr baseColWidth="10" defaultRowHeight="15" x14ac:dyDescent="0.2"/>
  <cols>
    <col min="1" max="1" width="12.33203125" bestFit="1" customWidth="1"/>
    <col min="2" max="2" width="35" bestFit="1" customWidth="1"/>
    <col min="3" max="3" width="13.5" bestFit="1" customWidth="1"/>
    <col min="4" max="4" width="15.1640625" bestFit="1" customWidth="1"/>
    <col min="5" max="5" width="23.5" bestFit="1" customWidth="1"/>
    <col min="6" max="6" width="20" bestFit="1" customWidth="1"/>
    <col min="7" max="7" width="7.1640625" bestFit="1" customWidth="1"/>
    <col min="8" max="8" width="33.1640625" bestFit="1" customWidth="1"/>
    <col min="9" max="9" width="9.6640625" bestFit="1" customWidth="1"/>
    <col min="10" max="10" width="16.6640625" bestFit="1" customWidth="1"/>
    <col min="11" max="11" width="19.33203125" bestFit="1" customWidth="1"/>
    <col min="12" max="13" width="9.5" bestFit="1" customWidth="1"/>
    <col min="14" max="14" width="14" bestFit="1" customWidth="1"/>
    <col min="16" max="16" width="10.5" customWidth="1"/>
  </cols>
  <sheetData>
    <row r="1" spans="1:14" x14ac:dyDescent="0.2">
      <c r="A1" s="1" t="s">
        <v>30</v>
      </c>
      <c r="B1" s="1" t="s">
        <v>31</v>
      </c>
      <c r="C1" s="1" t="s">
        <v>32</v>
      </c>
      <c r="D1" s="1" t="s">
        <v>368</v>
      </c>
      <c r="E1" s="1" t="s">
        <v>33</v>
      </c>
      <c r="F1" s="1" t="s">
        <v>498</v>
      </c>
      <c r="G1" s="1" t="s">
        <v>499</v>
      </c>
      <c r="H1" s="1" t="s">
        <v>501</v>
      </c>
      <c r="I1" s="1" t="s">
        <v>500</v>
      </c>
      <c r="J1" s="1" t="s">
        <v>502</v>
      </c>
      <c r="K1" s="1" t="s">
        <v>503</v>
      </c>
      <c r="L1" s="1" t="s">
        <v>504</v>
      </c>
      <c r="M1" s="1" t="s">
        <v>505</v>
      </c>
      <c r="N1" s="1" t="s">
        <v>506</v>
      </c>
    </row>
    <row r="2" spans="1:14" x14ac:dyDescent="0.2">
      <c r="A2" t="s">
        <v>39</v>
      </c>
      <c r="B2" t="str">
        <f>_xlfn.XLOOKUP(Tabelle8[[#This Row],[SKU_ID]],Tabelle2[SKU_ID],Tabelle2[Product_Name],"-",0)</f>
        <v>Shimano Deore Rear Derailleur RD-M5120</v>
      </c>
      <c r="C2" t="str">
        <f>_xlfn.XLOOKUP(Tabelle8[[#This Row],[Product_Name]],Tabelle2[Product_Name],Tabelle2[Category],"-",0)</f>
        <v>Drivetrain</v>
      </c>
      <c r="D2">
        <f>_xlfn.XLOOKUP(Tabelle8[[#This Row],[SKU_ID]],Table_Order_History[SKU_ID],Table_Order_History[Total_2024],"-",0)</f>
        <v>334</v>
      </c>
      <c r="E2">
        <f>_xlfn.XLOOKUP(Tabelle8[[#This Row],[SKU_ID]],Tabelle2[SKU_ID],Tabelle2[Unit_Selling_Price_€],"-",0)</f>
        <v>68</v>
      </c>
      <c r="F2" s="4">
        <f>_xlfn.XLOOKUP(Tabelle8[[#This Row],[SKU_ID]],Table_Order_History[SKU_ID],Table_Order_History[Total_Annual_Revenue],"-",0)</f>
        <v>22712</v>
      </c>
      <c r="G2">
        <f>RANK(F2,$F$2:$F$39,0)</f>
        <v>3</v>
      </c>
      <c r="H2" s="13" cm="1">
        <f t="array" ref="H2">SUMPRODUCT((Tabelle8[[#This Row],['#]]&gt;=Tabelle8['#])*Tabelle8[Annual_Revenue])/SUM(Tabelle8[Annual_Revenue])</f>
        <v>0.17753893958464442</v>
      </c>
      <c r="I2" t="str">
        <f>IF(H2&lt;=80%,"A",IF(H2&lt;=95%,"B","C"))</f>
        <v>A</v>
      </c>
      <c r="J2" s="16">
        <f>AVERAGE(_xlfn.XLOOKUP(Tabelle8[[#This Row],[SKU_ID]],Table_Order_History[SKU_ID],Table_Order_History[[Jan-24]:[Dec-24]],"-",0))</f>
        <v>27.833333333333332</v>
      </c>
      <c r="K2" s="15">
        <f>STDEV(_xlfn.XLOOKUP(Tabelle8[[#This Row],[SKU_ID]],Table_Order_History[SKU_ID],Table_Order_History[[Jan-24]:[Dec-24]],"-",0))</f>
        <v>8.2443736553905005</v>
      </c>
      <c r="L2" s="13">
        <f>(Tabelle8[[#This Row],[StdDev_Monthly]]/Tabelle8[[#This Row],[Avg_Monthly]])</f>
        <v>0.29620504151103594</v>
      </c>
      <c r="M2" t="str">
        <f>IF(Tabelle8[[#This Row],[CoV]]&lt;=25%,"X",IF(Tabelle8[[#This Row],[CoV]]&lt;=50%,"Y","Z"))</f>
        <v>Y</v>
      </c>
      <c r="N2" t="str">
        <f>Tabelle8[[#This Row],[ABC]]&amp;Tabelle8[[#This Row],[XYZ]]</f>
        <v>AY</v>
      </c>
    </row>
    <row r="3" spans="1:14" x14ac:dyDescent="0.2">
      <c r="A3" t="s">
        <v>43</v>
      </c>
      <c r="B3" t="s">
        <v>44</v>
      </c>
      <c r="C3" t="str">
        <f>_xlfn.XLOOKUP(Tabelle8[[#This Row],[Product_Name]],Tabelle2[Product_Name],Tabelle2[Category],"-",0)</f>
        <v>Drivetrain</v>
      </c>
      <c r="D3">
        <f>_xlfn.XLOOKUP(Tabelle8[[#This Row],[SKU_ID]],Table_Order_History[SKU_ID],Table_Order_History[Total_2024],"-",0)</f>
        <v>216</v>
      </c>
      <c r="E3">
        <f>_xlfn.XLOOKUP(Tabelle8[[#This Row],[SKU_ID]],Tabelle2[SKU_ID],Tabelle2[Unit_Selling_Price_€],"-",0)</f>
        <v>44</v>
      </c>
      <c r="F3" s="4">
        <f>_xlfn.XLOOKUP(Tabelle8[[#This Row],[SKU_ID]],Table_Order_History[SKU_ID],Table_Order_History[Total_Annual_Revenue],"-",0)</f>
        <v>9504</v>
      </c>
      <c r="G3">
        <f>RANK(F3,$F$2:$F$39,0)</f>
        <v>21</v>
      </c>
      <c r="H3" s="13" cm="1">
        <f t="array" ref="H3">SUMPRODUCT((Tabelle8[[#This Row],['#]]&gt;=Tabelle8['#])*Tabelle8[Annual_Revenue])/SUM(Tabelle8[Annual_Revenue])</f>
        <v>0.73100957756450602</v>
      </c>
      <c r="I3" t="str">
        <f>IF(H3&lt;=80%,"A",IF(H3&lt;=95%,"B","C"))</f>
        <v>A</v>
      </c>
      <c r="J3" s="16">
        <f>AVERAGE(_xlfn.XLOOKUP(Tabelle8[[#This Row],[SKU_ID]],Table_Order_History[SKU_ID],Table_Order_History[[Jan-24]:[Dec-24]],"-",0))</f>
        <v>18</v>
      </c>
      <c r="K3" s="15">
        <f>STDEV(_xlfn.XLOOKUP(Tabelle8[[#This Row],[SKU_ID]],Table_Order_History[SKU_ID],Table_Order_History[[Jan-24]:[Dec-24]],"-",0))</f>
        <v>6.7149764773161413</v>
      </c>
      <c r="L3" s="13">
        <f>(Tabelle8[[#This Row],[StdDev_Monthly]]/Tabelle8[[#This Row],[Avg_Monthly]])</f>
        <v>0.37305424873978565</v>
      </c>
      <c r="M3" t="str">
        <f>IF(Tabelle8[[#This Row],[CoV]]&lt;=25%,"X",IF(Tabelle8[[#This Row],[CoV]]&lt;=50%,"Y","Z"))</f>
        <v>Y</v>
      </c>
      <c r="N3" t="str">
        <f>Tabelle8[[#This Row],[ABC]]&amp;Tabelle8[[#This Row],[XYZ]]</f>
        <v>AY</v>
      </c>
    </row>
    <row r="4" spans="1:14" x14ac:dyDescent="0.2">
      <c r="A4" t="s">
        <v>45</v>
      </c>
      <c r="B4" t="s">
        <v>46</v>
      </c>
      <c r="C4" t="str">
        <f>_xlfn.XLOOKUP(Tabelle8[[#This Row],[Product_Name]],Tabelle2[Product_Name],Tabelle2[Category],"-",0)</f>
        <v>Drivetrain</v>
      </c>
      <c r="D4">
        <f>_xlfn.XLOOKUP(Tabelle8[[#This Row],[SKU_ID]],Table_Order_History[SKU_ID],Table_Order_History[Total_2024],"-",0)</f>
        <v>170</v>
      </c>
      <c r="E4">
        <f>_xlfn.XLOOKUP(Tabelle8[[#This Row],[SKU_ID]],Tabelle2[SKU_ID],Tabelle2[Unit_Selling_Price_€],"-",0)</f>
        <v>89</v>
      </c>
      <c r="F4" s="4">
        <f>_xlfn.XLOOKUP(Tabelle8[[#This Row],[SKU_ID]],Table_Order_History[SKU_ID],Table_Order_History[Total_Annual_Revenue],"-",0)</f>
        <v>15130</v>
      </c>
      <c r="G4">
        <f>RANK(F4,$F$2:$F$39,0)</f>
        <v>6</v>
      </c>
      <c r="H4" s="13" cm="1">
        <f t="array" ref="H4">SUMPRODUCT((Tabelle8[[#This Row],['#]]&gt;=Tabelle8['#])*Tabelle8[Annual_Revenue])/SUM(Tabelle8[Annual_Revenue])</f>
        <v>0.29583267778477029</v>
      </c>
      <c r="I4" t="str">
        <f>IF(H4&lt;=80%,"A",IF(H4&lt;=95%,"B","C"))</f>
        <v>A</v>
      </c>
      <c r="J4" s="16">
        <f>AVERAGE(_xlfn.XLOOKUP(Tabelle8[[#This Row],[SKU_ID]],Table_Order_History[SKU_ID],Table_Order_History[[Jan-24]:[Dec-24]],"-",0))</f>
        <v>14.166666666666666</v>
      </c>
      <c r="K4" s="15">
        <f>STDEV(_xlfn.XLOOKUP(Tabelle8[[#This Row],[SKU_ID]],Table_Order_History[SKU_ID],Table_Order_History[[Jan-24]:[Dec-24]],"-",0))</f>
        <v>6.7532259406938691</v>
      </c>
      <c r="L4" s="13">
        <f>(Tabelle8[[#This Row],[StdDev_Monthly]]/Tabelle8[[#This Row],[Avg_Monthly]])</f>
        <v>0.47669830169603783</v>
      </c>
      <c r="M4" t="str">
        <f>IF(Tabelle8[[#This Row],[CoV]]&lt;=25%,"X",IF(Tabelle8[[#This Row],[CoV]]&lt;=50%,"Y","Z"))</f>
        <v>Y</v>
      </c>
      <c r="N4" t="str">
        <f>Tabelle8[[#This Row],[ABC]]&amp;Tabelle8[[#This Row],[XYZ]]</f>
        <v>AY</v>
      </c>
    </row>
    <row r="5" spans="1:14" x14ac:dyDescent="0.2">
      <c r="A5" t="s">
        <v>48</v>
      </c>
      <c r="B5" t="s">
        <v>49</v>
      </c>
      <c r="C5" t="str">
        <f>_xlfn.XLOOKUP(Tabelle8[[#This Row],[Product_Name]],Tabelle2[Product_Name],Tabelle2[Category],"-",0)</f>
        <v>Drivetrain</v>
      </c>
      <c r="D5">
        <f>_xlfn.XLOOKUP(Tabelle8[[#This Row],[SKU_ID]],Table_Order_History[SKU_ID],Table_Order_History[Total_2024],"-",0)</f>
        <v>512</v>
      </c>
      <c r="E5">
        <f>_xlfn.XLOOKUP(Tabelle8[[#This Row],[SKU_ID]],Tabelle2[SKU_ID],Tabelle2[Unit_Selling_Price_€],"-",0)</f>
        <v>29</v>
      </c>
      <c r="F5" s="4">
        <f>_xlfn.XLOOKUP(Tabelle8[[#This Row],[SKU_ID]],Table_Order_History[SKU_ID],Table_Order_History[Total_Annual_Revenue],"-",0)</f>
        <v>14848</v>
      </c>
      <c r="G5">
        <f>RANK(F5,$F$2:$F$39,0)</f>
        <v>8</v>
      </c>
      <c r="H5" s="13" cm="1">
        <f t="array" ref="H5">SUMPRODUCT((Tabelle8[[#This Row],['#]]&gt;=Tabelle8['#])*Tabelle8[Annual_Revenue])/SUM(Tabelle8[Annual_Revenue])</f>
        <v>0.36927706104468216</v>
      </c>
      <c r="I5" t="str">
        <f>IF(H5&lt;=80%,"A",IF(H5&lt;=95%,"B","C"))</f>
        <v>A</v>
      </c>
      <c r="J5" s="16">
        <f>AVERAGE(_xlfn.XLOOKUP(Tabelle8[[#This Row],[SKU_ID]],Table_Order_History[SKU_ID],Table_Order_History[[Jan-24]:[Dec-24]],"-",0))</f>
        <v>42.666666666666664</v>
      </c>
      <c r="K5" s="15">
        <f>STDEV(_xlfn.XLOOKUP(Tabelle8[[#This Row],[SKU_ID]],Table_Order_History[SKU_ID],Table_Order_History[[Jan-24]:[Dec-24]],"-",0))</f>
        <v>10.102504939895164</v>
      </c>
      <c r="L5" s="13">
        <f>(Tabelle8[[#This Row],[StdDev_Monthly]]/Tabelle8[[#This Row],[Avg_Monthly]])</f>
        <v>0.23677745952879292</v>
      </c>
      <c r="M5" t="str">
        <f>IF(Tabelle8[[#This Row],[CoV]]&lt;=25%,"X",IF(Tabelle8[[#This Row],[CoV]]&lt;=50%,"Y","Z"))</f>
        <v>X</v>
      </c>
      <c r="N5" t="str">
        <f>Tabelle8[[#This Row],[ABC]]&amp;Tabelle8[[#This Row],[XYZ]]</f>
        <v>AX</v>
      </c>
    </row>
    <row r="6" spans="1:14" x14ac:dyDescent="0.2">
      <c r="A6" t="s">
        <v>51</v>
      </c>
      <c r="B6" t="s">
        <v>52</v>
      </c>
      <c r="C6" t="str">
        <f>_xlfn.XLOOKUP(Tabelle8[[#This Row],[Product_Name]],Tabelle2[Product_Name],Tabelle2[Category],"-",0)</f>
        <v>Drivetrain</v>
      </c>
      <c r="D6">
        <f>_xlfn.XLOOKUP(Tabelle8[[#This Row],[SKU_ID]],Table_Order_History[SKU_ID],Table_Order_History[Total_2024],"-",0)</f>
        <v>150</v>
      </c>
      <c r="E6">
        <f>_xlfn.XLOOKUP(Tabelle8[[#This Row],[SKU_ID]],Tabelle2[SKU_ID],Tabelle2[Unit_Selling_Price_€],"-",0)</f>
        <v>35</v>
      </c>
      <c r="F6" s="4">
        <f>_xlfn.XLOOKUP(Tabelle8[[#This Row],[SKU_ID]],Table_Order_History[SKU_ID],Table_Order_History[Total_Annual_Revenue],"-",0)</f>
        <v>5250</v>
      </c>
      <c r="G6">
        <f>RANK(F6,$F$2:$F$39,0)</f>
        <v>34</v>
      </c>
      <c r="H6" s="13" cm="1">
        <f t="array" ref="H6">SUMPRODUCT((Tabelle8[[#This Row],['#]]&gt;=Tabelle8['#])*Tabelle8[Annual_Revenue])/SUM(Tabelle8[Annual_Revenue])</f>
        <v>0.95791378225298929</v>
      </c>
      <c r="I6" t="str">
        <f>IF(H6&lt;=80%,"A",IF(H6&lt;=95%,"B","C"))</f>
        <v>C</v>
      </c>
      <c r="J6" s="16">
        <f>AVERAGE(_xlfn.XLOOKUP(Tabelle8[[#This Row],[SKU_ID]],Table_Order_History[SKU_ID],Table_Order_History[[Jan-24]:[Dec-24]],"-",0))</f>
        <v>12.5</v>
      </c>
      <c r="K6" s="15">
        <f>STDEV(_xlfn.XLOOKUP(Tabelle8[[#This Row],[SKU_ID]],Table_Order_History[SKU_ID],Table_Order_History[[Jan-24]:[Dec-24]],"-",0))</f>
        <v>3.9427724440366254</v>
      </c>
      <c r="L6" s="13">
        <f>(Tabelle8[[#This Row],[StdDev_Monthly]]/Tabelle8[[#This Row],[Avg_Monthly]])</f>
        <v>0.31542179552293004</v>
      </c>
      <c r="M6" t="str">
        <f>IF(Tabelle8[[#This Row],[CoV]]&lt;=25%,"X",IF(Tabelle8[[#This Row],[CoV]]&lt;=50%,"Y","Z"))</f>
        <v>Y</v>
      </c>
      <c r="N6" t="str">
        <f>Tabelle8[[#This Row],[ABC]]&amp;Tabelle8[[#This Row],[XYZ]]</f>
        <v>CY</v>
      </c>
    </row>
    <row r="7" spans="1:14" x14ac:dyDescent="0.2">
      <c r="A7" t="s">
        <v>53</v>
      </c>
      <c r="B7" t="s">
        <v>54</v>
      </c>
      <c r="C7" t="str">
        <f>_xlfn.XLOOKUP(Tabelle8[[#This Row],[Product_Name]],Tabelle2[Product_Name],Tabelle2[Category],"-",0)</f>
        <v>Electrics</v>
      </c>
      <c r="D7">
        <f>_xlfn.XLOOKUP(Tabelle8[[#This Row],[SKU_ID]],Table_Order_History[SKU_ID],Table_Order_History[Total_2024],"-",0)</f>
        <v>52</v>
      </c>
      <c r="E7">
        <f>_xlfn.XLOOKUP(Tabelle8[[#This Row],[SKU_ID]],Tabelle2[SKU_ID],Tabelle2[Unit_Selling_Price_€],"-",0)</f>
        <v>499</v>
      </c>
      <c r="F7" s="4">
        <f>_xlfn.XLOOKUP(Tabelle8[[#This Row],[SKU_ID]],Table_Order_History[SKU_ID],Table_Order_History[Total_Annual_Revenue],"-",0)</f>
        <v>25948</v>
      </c>
      <c r="G7">
        <f>RANK(F7,$F$2:$F$39,0)</f>
        <v>1</v>
      </c>
      <c r="H7" s="13" cm="1">
        <f t="array" ref="H7">SUMPRODUCT((Tabelle8[[#This Row],['#]]&gt;=Tabelle8['#])*Tabelle8[Annual_Revenue])/SUM(Tabelle8[Annual_Revenue])</f>
        <v>6.3788152926368788E-2</v>
      </c>
      <c r="I7" t="str">
        <f>IF(H7&lt;=80%,"A",IF(H7&lt;=95%,"B","C"))</f>
        <v>A</v>
      </c>
      <c r="J7" s="16">
        <f>AVERAGE(_xlfn.XLOOKUP(Tabelle8[[#This Row],[SKU_ID]],Table_Order_History[SKU_ID],Table_Order_History[[Jan-24]:[Dec-24]],"-",0))</f>
        <v>4.333333333333333</v>
      </c>
      <c r="K7" s="15">
        <f>STDEV(_xlfn.XLOOKUP(Tabelle8[[#This Row],[SKU_ID]],Table_Order_History[SKU_ID],Table_Order_History[[Jan-24]:[Dec-24]],"-",0))</f>
        <v>1.7752507291971888</v>
      </c>
      <c r="L7" s="13">
        <f>(Tabelle8[[#This Row],[StdDev_Monthly]]/Tabelle8[[#This Row],[Avg_Monthly]])</f>
        <v>0.40967324519935128</v>
      </c>
      <c r="M7" t="str">
        <f>IF(Tabelle8[[#This Row],[CoV]]&lt;=25%,"X",IF(Tabelle8[[#This Row],[CoV]]&lt;=50%,"Y","Z"))</f>
        <v>Y</v>
      </c>
      <c r="N7" t="str">
        <f>Tabelle8[[#This Row],[ABC]]&amp;Tabelle8[[#This Row],[XYZ]]</f>
        <v>AY</v>
      </c>
    </row>
    <row r="8" spans="1:14" x14ac:dyDescent="0.2">
      <c r="A8" t="s">
        <v>57</v>
      </c>
      <c r="B8" t="s">
        <v>58</v>
      </c>
      <c r="C8" t="str">
        <f>_xlfn.XLOOKUP(Tabelle8[[#This Row],[Product_Name]],Tabelle2[Product_Name],Tabelle2[Category],"-",0)</f>
        <v>Electrics</v>
      </c>
      <c r="D8">
        <f>_xlfn.XLOOKUP(Tabelle8[[#This Row],[SKU_ID]],Table_Order_History[SKU_ID],Table_Order_History[Total_2024],"-",0)</f>
        <v>20</v>
      </c>
      <c r="E8">
        <f>_xlfn.XLOOKUP(Tabelle8[[#This Row],[SKU_ID]],Tabelle2[SKU_ID],Tabelle2[Unit_Selling_Price_€],"-",0)</f>
        <v>890</v>
      </c>
      <c r="F8" s="4">
        <f>_xlfn.XLOOKUP(Tabelle8[[#This Row],[SKU_ID]],Table_Order_History[SKU_ID],Table_Order_History[Total_Annual_Revenue],"-",0)</f>
        <v>17800</v>
      </c>
      <c r="G8">
        <f>RANK(F8,$F$2:$F$39,0)</f>
        <v>4</v>
      </c>
      <c r="H8" s="13" cm="1">
        <f t="array" ref="H8">SUMPRODUCT((Tabelle8[[#This Row],['#]]&gt;=Tabelle8['#])*Tabelle8[Annual_Revenue])/SUM(Tabelle8[Annual_Revenue])</f>
        <v>0.22129680616740088</v>
      </c>
      <c r="I8" t="str">
        <f>IF(H8&lt;=80%,"A",IF(H8&lt;=95%,"B","C"))</f>
        <v>A</v>
      </c>
      <c r="J8" s="16">
        <f>AVERAGE(_xlfn.XLOOKUP(Tabelle8[[#This Row],[SKU_ID]],Table_Order_History[SKU_ID],Table_Order_History[[Jan-24]:[Dec-24]],"-",0))</f>
        <v>1.6666666666666667</v>
      </c>
      <c r="K8" s="15">
        <f>STDEV(_xlfn.XLOOKUP(Tabelle8[[#This Row],[SKU_ID]],Table_Order_History[SKU_ID],Table_Order_History[[Jan-24]:[Dec-24]],"-",0))</f>
        <v>1.1547005383792515</v>
      </c>
      <c r="L8" s="13">
        <f>(Tabelle8[[#This Row],[StdDev_Monthly]]/Tabelle8[[#This Row],[Avg_Monthly]])</f>
        <v>0.69282032302755081</v>
      </c>
      <c r="M8" t="str">
        <f>IF(Tabelle8[[#This Row],[CoV]]&lt;=25%,"X",IF(Tabelle8[[#This Row],[CoV]]&lt;=50%,"Y","Z"))</f>
        <v>Z</v>
      </c>
      <c r="N8" t="str">
        <f>Tabelle8[[#This Row],[ABC]]&amp;Tabelle8[[#This Row],[XYZ]]</f>
        <v>AZ</v>
      </c>
    </row>
    <row r="9" spans="1:14" x14ac:dyDescent="0.2">
      <c r="A9" t="s">
        <v>59</v>
      </c>
      <c r="B9" t="s">
        <v>60</v>
      </c>
      <c r="C9" t="str">
        <f>_xlfn.XLOOKUP(Tabelle8[[#This Row],[Product_Name]],Tabelle2[Product_Name],Tabelle2[Category],"-",0)</f>
        <v>Electrics</v>
      </c>
      <c r="D9">
        <f>_xlfn.XLOOKUP(Tabelle8[[#This Row],[SKU_ID]],Table_Order_History[SKU_ID],Table_Order_History[Total_2024],"-",0)</f>
        <v>117</v>
      </c>
      <c r="E9">
        <f>_xlfn.XLOOKUP(Tabelle8[[#This Row],[SKU_ID]],Tabelle2[SKU_ID],Tabelle2[Unit_Selling_Price_€],"-",0)</f>
        <v>105</v>
      </c>
      <c r="F9" s="4">
        <f>_xlfn.XLOOKUP(Tabelle8[[#This Row],[SKU_ID]],Table_Order_History[SKU_ID],Table_Order_History[Total_Annual_Revenue],"-",0)</f>
        <v>12285</v>
      </c>
      <c r="G9">
        <f>RANK(F9,$F$2:$F$39,0)</f>
        <v>12</v>
      </c>
      <c r="H9" s="13" cm="1">
        <f t="array" ref="H9">SUMPRODUCT((Tabelle8[[#This Row],['#]]&gt;=Tabelle8['#])*Tabelle8[Annual_Revenue])/SUM(Tabelle8[Annual_Revenue])</f>
        <v>0.50564673143486472</v>
      </c>
      <c r="I9" t="str">
        <f>IF(H9&lt;=80%,"A",IF(H9&lt;=95%,"B","C"))</f>
        <v>A</v>
      </c>
      <c r="J9" s="16">
        <f>AVERAGE(_xlfn.XLOOKUP(Tabelle8[[#This Row],[SKU_ID]],Table_Order_History[SKU_ID],Table_Order_History[[Jan-24]:[Dec-24]],"-",0))</f>
        <v>9.75</v>
      </c>
      <c r="K9" s="15">
        <f>STDEV(_xlfn.XLOOKUP(Tabelle8[[#This Row],[SKU_ID]],Table_Order_History[SKU_ID],Table_Order_History[[Jan-24]:[Dec-24]],"-",0))</f>
        <v>3.0785179433085537</v>
      </c>
      <c r="L9" s="13">
        <f>(Tabelle8[[#This Row],[StdDev_Monthly]]/Tabelle8[[#This Row],[Avg_Monthly]])</f>
        <v>0.3157454300829286</v>
      </c>
      <c r="M9" t="str">
        <f>IF(Tabelle8[[#This Row],[CoV]]&lt;=25%,"X",IF(Tabelle8[[#This Row],[CoV]]&lt;=50%,"Y","Z"))</f>
        <v>Y</v>
      </c>
      <c r="N9" t="str">
        <f>Tabelle8[[#This Row],[ABC]]&amp;Tabelle8[[#This Row],[XYZ]]</f>
        <v>AY</v>
      </c>
    </row>
    <row r="10" spans="1:14" x14ac:dyDescent="0.2">
      <c r="A10" t="s">
        <v>61</v>
      </c>
      <c r="B10" t="s">
        <v>62</v>
      </c>
      <c r="C10" t="str">
        <f>_xlfn.XLOOKUP(Tabelle8[[#This Row],[Product_Name]],Tabelle2[Product_Name],Tabelle2[Category],"-",0)</f>
        <v>Electrics</v>
      </c>
      <c r="D10">
        <f>_xlfn.XLOOKUP(Tabelle8[[#This Row],[SKU_ID]],Table_Order_History[SKU_ID],Table_Order_History[Total_2024],"-",0)</f>
        <v>184</v>
      </c>
      <c r="E10">
        <f>_xlfn.XLOOKUP(Tabelle8[[#This Row],[SKU_ID]],Tabelle2[SKU_ID],Tabelle2[Unit_Selling_Price_€],"-",0)</f>
        <v>79</v>
      </c>
      <c r="F10" s="4">
        <f>_xlfn.XLOOKUP(Tabelle8[[#This Row],[SKU_ID]],Table_Order_History[SKU_ID],Table_Order_History[Total_Annual_Revenue],"-",0)</f>
        <v>14536</v>
      </c>
      <c r="G10">
        <f>RANK(F10,$F$2:$F$39,0)</f>
        <v>10</v>
      </c>
      <c r="H10" s="13" cm="1">
        <f t="array" ref="H10">SUMPRODUCT((Tabelle8[[#This Row],['#]]&gt;=Tabelle8['#])*Tabelle8[Annual_Revenue])/SUM(Tabelle8[Annual_Revenue])</f>
        <v>0.44100062932662054</v>
      </c>
      <c r="I10" t="str">
        <f>IF(H10&lt;=80%,"A",IF(H10&lt;=95%,"B","C"))</f>
        <v>A</v>
      </c>
      <c r="J10" s="16">
        <f>AVERAGE(_xlfn.XLOOKUP(Tabelle8[[#This Row],[SKU_ID]],Table_Order_History[SKU_ID],Table_Order_History[[Jan-24]:[Dec-24]],"-",0))</f>
        <v>15.333333333333334</v>
      </c>
      <c r="K10" s="15">
        <f>STDEV(_xlfn.XLOOKUP(Tabelle8[[#This Row],[SKU_ID]],Table_Order_History[SKU_ID],Table_Order_History[[Jan-24]:[Dec-24]],"-",0))</f>
        <v>4.1633319989322635</v>
      </c>
      <c r="L10" s="13">
        <f>(Tabelle8[[#This Row],[StdDev_Monthly]]/Tabelle8[[#This Row],[Avg_Monthly]])</f>
        <v>0.27152165210427803</v>
      </c>
      <c r="M10" t="str">
        <f>IF(Tabelle8[[#This Row],[CoV]]&lt;=25%,"X",IF(Tabelle8[[#This Row],[CoV]]&lt;=50%,"Y","Z"))</f>
        <v>Y</v>
      </c>
      <c r="N10" t="str">
        <f>Tabelle8[[#This Row],[ABC]]&amp;Tabelle8[[#This Row],[XYZ]]</f>
        <v>AY</v>
      </c>
    </row>
    <row r="11" spans="1:14" x14ac:dyDescent="0.2">
      <c r="A11" t="s">
        <v>64</v>
      </c>
      <c r="B11" t="s">
        <v>65</v>
      </c>
      <c r="C11" t="str">
        <f>_xlfn.XLOOKUP(Tabelle8[[#This Row],[Product_Name]],Tabelle2[Product_Name],Tabelle2[Category],"-",0)</f>
        <v>Electrics</v>
      </c>
      <c r="D11">
        <f>_xlfn.XLOOKUP(Tabelle8[[#This Row],[SKU_ID]],Table_Order_History[SKU_ID],Table_Order_History[Total_2024],"-",0)</f>
        <v>131</v>
      </c>
      <c r="E11">
        <f>_xlfn.XLOOKUP(Tabelle8[[#This Row],[SKU_ID]],Tabelle2[SKU_ID],Tabelle2[Unit_Selling_Price_€],"-",0)</f>
        <v>32</v>
      </c>
      <c r="F11" s="4">
        <f>_xlfn.XLOOKUP(Tabelle8[[#This Row],[SKU_ID]],Table_Order_History[SKU_ID],Table_Order_History[Total_Annual_Revenue],"-",0)</f>
        <v>4192</v>
      </c>
      <c r="G11">
        <f>RANK(F11,$F$2:$F$39,0)</f>
        <v>37</v>
      </c>
      <c r="H11" s="13" cm="1">
        <f t="array" ref="H11">SUMPRODUCT((Tabelle8[[#This Row],['#]]&gt;=Tabelle8['#])*Tabelle8[Annual_Revenue])/SUM(Tabelle8[Annual_Revenue])</f>
        <v>0.99156308999370668</v>
      </c>
      <c r="I11" t="str">
        <f>IF(H11&lt;=80%,"A",IF(H11&lt;=95%,"B","C"))</f>
        <v>C</v>
      </c>
      <c r="J11" s="16">
        <f>AVERAGE(_xlfn.XLOOKUP(Tabelle8[[#This Row],[SKU_ID]],Table_Order_History[SKU_ID],Table_Order_History[[Jan-24]:[Dec-24]],"-",0))</f>
        <v>10.916666666666666</v>
      </c>
      <c r="K11" s="15">
        <f>STDEV(_xlfn.XLOOKUP(Tabelle8[[#This Row],[SKU_ID]],Table_Order_History[SKU_ID],Table_Order_History[[Jan-24]:[Dec-24]],"-",0))</f>
        <v>3.315482505220658</v>
      </c>
      <c r="L11" s="13">
        <f>(Tabelle8[[#This Row],[StdDev_Monthly]]/Tabelle8[[#This Row],[Avg_Monthly]])</f>
        <v>0.30370832108891527</v>
      </c>
      <c r="M11" t="str">
        <f>IF(Tabelle8[[#This Row],[CoV]]&lt;=25%,"X",IF(Tabelle8[[#This Row],[CoV]]&lt;=50%,"Y","Z"))</f>
        <v>Y</v>
      </c>
      <c r="N11" t="str">
        <f>Tabelle8[[#This Row],[ABC]]&amp;Tabelle8[[#This Row],[XYZ]]</f>
        <v>CY</v>
      </c>
    </row>
    <row r="12" spans="1:14" x14ac:dyDescent="0.2">
      <c r="A12" t="s">
        <v>67</v>
      </c>
      <c r="B12" t="s">
        <v>68</v>
      </c>
      <c r="C12" t="str">
        <f>_xlfn.XLOOKUP(Tabelle8[[#This Row],[Product_Name]],Tabelle2[Product_Name],Tabelle2[Category],"-",0)</f>
        <v>Brakes</v>
      </c>
      <c r="D12">
        <f>_xlfn.XLOOKUP(Tabelle8[[#This Row],[SKU_ID]],Table_Order_History[SKU_ID],Table_Order_History[Total_2024],"-",0)</f>
        <v>98</v>
      </c>
      <c r="E12">
        <f>_xlfn.XLOOKUP(Tabelle8[[#This Row],[SKU_ID]],Tabelle2[SKU_ID],Tabelle2[Unit_Selling_Price_€],"-",0)</f>
        <v>155</v>
      </c>
      <c r="F12" s="4">
        <f>_xlfn.XLOOKUP(Tabelle8[[#This Row],[SKU_ID]],Table_Order_History[SKU_ID],Table_Order_History[Total_Annual_Revenue],"-",0)</f>
        <v>15190</v>
      </c>
      <c r="G12">
        <f>RANK(F12,$F$2:$F$39,0)</f>
        <v>5</v>
      </c>
      <c r="H12" s="13" cm="1">
        <f t="array" ref="H12">SUMPRODUCT((Tabelle8[[#This Row],['#]]&gt;=Tabelle8['#])*Tabelle8[Annual_Revenue])/SUM(Tabelle8[Annual_Revenue])</f>
        <v>0.25863849118942733</v>
      </c>
      <c r="I12" t="str">
        <f>IF(H12&lt;=80%,"A",IF(H12&lt;=95%,"B","C"))</f>
        <v>A</v>
      </c>
      <c r="J12" s="16">
        <f>AVERAGE(_xlfn.XLOOKUP(Tabelle8[[#This Row],[SKU_ID]],Table_Order_History[SKU_ID],Table_Order_History[[Jan-24]:[Dec-24]],"-",0))</f>
        <v>8.1666666666666661</v>
      </c>
      <c r="K12" s="15">
        <f>STDEV(_xlfn.XLOOKUP(Tabelle8[[#This Row],[SKU_ID]],Table_Order_History[SKU_ID],Table_Order_History[[Jan-24]:[Dec-24]],"-",0))</f>
        <v>2.443296332763786</v>
      </c>
      <c r="L12" s="13">
        <f>(Tabelle8[[#This Row],[StdDev_Monthly]]/Tabelle8[[#This Row],[Avg_Monthly]])</f>
        <v>0.29917914278740237</v>
      </c>
      <c r="M12" t="str">
        <f>IF(Tabelle8[[#This Row],[CoV]]&lt;=25%,"X",IF(Tabelle8[[#This Row],[CoV]]&lt;=50%,"Y","Z"))</f>
        <v>Y</v>
      </c>
      <c r="N12" t="str">
        <f>Tabelle8[[#This Row],[ABC]]&amp;Tabelle8[[#This Row],[XYZ]]</f>
        <v>AY</v>
      </c>
    </row>
    <row r="13" spans="1:14" x14ac:dyDescent="0.2">
      <c r="A13" t="s">
        <v>71</v>
      </c>
      <c r="B13" t="s">
        <v>72</v>
      </c>
      <c r="C13" t="str">
        <f>_xlfn.XLOOKUP(Tabelle8[[#This Row],[Product_Name]],Tabelle2[Product_Name],Tabelle2[Category],"-",0)</f>
        <v>Brakes</v>
      </c>
      <c r="D13">
        <f>_xlfn.XLOOKUP(Tabelle8[[#This Row],[SKU_ID]],Table_Order_History[SKU_ID],Table_Order_History[Total_2024],"-",0)</f>
        <v>226</v>
      </c>
      <c r="E13">
        <f>_xlfn.XLOOKUP(Tabelle8[[#This Row],[SKU_ID]],Tabelle2[SKU_ID],Tabelle2[Unit_Selling_Price_€],"-",0)</f>
        <v>62</v>
      </c>
      <c r="F13" s="4">
        <f>_xlfn.XLOOKUP(Tabelle8[[#This Row],[SKU_ID]],Table_Order_History[SKU_ID],Table_Order_History[Total_Annual_Revenue],"-",0)</f>
        <v>14012</v>
      </c>
      <c r="G13">
        <f>RANK(F13,$F$2:$F$39,0)</f>
        <v>11</v>
      </c>
      <c r="H13" s="13" cm="1">
        <f t="array" ref="H13">SUMPRODUCT((Tabelle8[[#This Row],['#]]&gt;=Tabelle8['#])*Tabelle8[Annual_Revenue])/SUM(Tabelle8[Annual_Revenue])</f>
        <v>0.47544642857142855</v>
      </c>
      <c r="I13" t="str">
        <f>IF(H13&lt;=80%,"A",IF(H13&lt;=95%,"B","C"))</f>
        <v>A</v>
      </c>
      <c r="J13" s="16">
        <f>AVERAGE(_xlfn.XLOOKUP(Tabelle8[[#This Row],[SKU_ID]],Table_Order_History[SKU_ID],Table_Order_History[[Jan-24]:[Dec-24]],"-",0))</f>
        <v>18.833333333333332</v>
      </c>
      <c r="K13" s="15">
        <f>STDEV(_xlfn.XLOOKUP(Tabelle8[[#This Row],[SKU_ID]],Table_Order_History[SKU_ID],Table_Order_History[[Jan-24]:[Dec-24]],"-",0))</f>
        <v>5.2019809746486088</v>
      </c>
      <c r="L13" s="13">
        <f>(Tabelle8[[#This Row],[StdDev_Monthly]]/Tabelle8[[#This Row],[Avg_Monthly]])</f>
        <v>0.27621137918488192</v>
      </c>
      <c r="M13" t="str">
        <f>IF(Tabelle8[[#This Row],[CoV]]&lt;=25%,"X",IF(Tabelle8[[#This Row],[CoV]]&lt;=50%,"Y","Z"))</f>
        <v>Y</v>
      </c>
      <c r="N13" t="str">
        <f>Tabelle8[[#This Row],[ABC]]&amp;Tabelle8[[#This Row],[XYZ]]</f>
        <v>AY</v>
      </c>
    </row>
    <row r="14" spans="1:14" x14ac:dyDescent="0.2">
      <c r="A14" t="s">
        <v>74</v>
      </c>
      <c r="B14" t="s">
        <v>75</v>
      </c>
      <c r="C14" t="str">
        <f>_xlfn.XLOOKUP(Tabelle8[[#This Row],[Product_Name]],Tabelle2[Product_Name],Tabelle2[Category],"-",0)</f>
        <v>Brakes</v>
      </c>
      <c r="D14">
        <f>_xlfn.XLOOKUP(Tabelle8[[#This Row],[SKU_ID]],Table_Order_History[SKU_ID],Table_Order_History[Total_2024],"-",0)</f>
        <v>265</v>
      </c>
      <c r="E14">
        <f>_xlfn.XLOOKUP(Tabelle8[[#This Row],[SKU_ID]],Tabelle2[SKU_ID],Tabelle2[Unit_Selling_Price_€],"-",0)</f>
        <v>36</v>
      </c>
      <c r="F14" s="4">
        <f>_xlfn.XLOOKUP(Tabelle8[[#This Row],[SKU_ID]],Table_Order_History[SKU_ID],Table_Order_History[Total_Annual_Revenue],"-",0)</f>
        <v>9540</v>
      </c>
      <c r="G14">
        <f>RANK(F14,$F$2:$F$39,0)</f>
        <v>20</v>
      </c>
      <c r="H14" s="13" cm="1">
        <f t="array" ref="H14">SUMPRODUCT((Tabelle8[[#This Row],['#]]&gt;=Tabelle8['#])*Tabelle8[Annual_Revenue])/SUM(Tabelle8[Annual_Revenue])</f>
        <v>0.70764582677784771</v>
      </c>
      <c r="I14" t="str">
        <f>IF(H14&lt;=80%,"A",IF(H14&lt;=95%,"B","C"))</f>
        <v>A</v>
      </c>
      <c r="J14" s="16">
        <f>AVERAGE(_xlfn.XLOOKUP(Tabelle8[[#This Row],[SKU_ID]],Table_Order_History[SKU_ID],Table_Order_History[[Jan-24]:[Dec-24]],"-",0))</f>
        <v>22.083333333333332</v>
      </c>
      <c r="K14" s="15">
        <f>STDEV(_xlfn.XLOOKUP(Tabelle8[[#This Row],[SKU_ID]],Table_Order_History[SKU_ID],Table_Order_History[[Jan-24]:[Dec-24]],"-",0))</f>
        <v>5.0714590572829232</v>
      </c>
      <c r="L14" s="13">
        <f>(Tabelle8[[#This Row],[StdDev_Monthly]]/Tabelle8[[#This Row],[Avg_Monthly]])</f>
        <v>0.22965097617884936</v>
      </c>
      <c r="M14" t="str">
        <f>IF(Tabelle8[[#This Row],[CoV]]&lt;=25%,"X",IF(Tabelle8[[#This Row],[CoV]]&lt;=50%,"Y","Z"))</f>
        <v>X</v>
      </c>
      <c r="N14" t="str">
        <f>Tabelle8[[#This Row],[ABC]]&amp;Tabelle8[[#This Row],[XYZ]]</f>
        <v>AX</v>
      </c>
    </row>
    <row r="15" spans="1:14" x14ac:dyDescent="0.2">
      <c r="A15" t="s">
        <v>76</v>
      </c>
      <c r="B15" t="s">
        <v>77</v>
      </c>
      <c r="C15" t="str">
        <f>_xlfn.XLOOKUP(Tabelle8[[#This Row],[Product_Name]],Tabelle2[Product_Name],Tabelle2[Category],"-",0)</f>
        <v>Brakes</v>
      </c>
      <c r="D15">
        <f>_xlfn.XLOOKUP(Tabelle8[[#This Row],[SKU_ID]],Table_Order_History[SKU_ID],Table_Order_History[Total_2024],"-",0)</f>
        <v>699</v>
      </c>
      <c r="E15">
        <f>_xlfn.XLOOKUP(Tabelle8[[#This Row],[SKU_ID]],Tabelle2[SKU_ID],Tabelle2[Unit_Selling_Price_€],"-",0)</f>
        <v>14</v>
      </c>
      <c r="F15" s="4">
        <f>_xlfn.XLOOKUP(Tabelle8[[#This Row],[SKU_ID]],Table_Order_History[SKU_ID],Table_Order_History[Total_Annual_Revenue],"-",0)</f>
        <v>9786</v>
      </c>
      <c r="G15">
        <f>RANK(F15,$F$2:$F$39,0)</f>
        <v>18</v>
      </c>
      <c r="H15" s="13" cm="1">
        <f t="array" ref="H15">SUMPRODUCT((Tabelle8[[#This Row],['#]]&gt;=Tabelle8['#])*Tabelle8[Annual_Revenue])/SUM(Tabelle8[Annual_Revenue])</f>
        <v>0.66022508259911894</v>
      </c>
      <c r="I15" t="str">
        <f>IF(H15&lt;=80%,"A",IF(H15&lt;=95%,"B","C"))</f>
        <v>A</v>
      </c>
      <c r="J15" s="16">
        <f>AVERAGE(_xlfn.XLOOKUP(Tabelle8[[#This Row],[SKU_ID]],Table_Order_History[SKU_ID],Table_Order_History[[Jan-24]:[Dec-24]],"-",0))</f>
        <v>58.25</v>
      </c>
      <c r="K15" s="15">
        <f>STDEV(_xlfn.XLOOKUP(Tabelle8[[#This Row],[SKU_ID]],Table_Order_History[SKU_ID],Table_Order_History[[Jan-24]:[Dec-24]],"-",0))</f>
        <v>9.5738754383525855</v>
      </c>
      <c r="L15" s="13">
        <f>(Tabelle8[[#This Row],[StdDev_Monthly]]/Tabelle8[[#This Row],[Avg_Monthly]])</f>
        <v>0.16435837662407873</v>
      </c>
      <c r="M15" t="str">
        <f>IF(Tabelle8[[#This Row],[CoV]]&lt;=25%,"X",IF(Tabelle8[[#This Row],[CoV]]&lt;=50%,"Y","Z"))</f>
        <v>X</v>
      </c>
      <c r="N15" t="str">
        <f>Tabelle8[[#This Row],[ABC]]&amp;Tabelle8[[#This Row],[XYZ]]</f>
        <v>AX</v>
      </c>
    </row>
    <row r="16" spans="1:14" x14ac:dyDescent="0.2">
      <c r="A16" t="s">
        <v>79</v>
      </c>
      <c r="B16" t="s">
        <v>80</v>
      </c>
      <c r="C16" t="str">
        <f>_xlfn.XLOOKUP(Tabelle8[[#This Row],[Product_Name]],Tabelle2[Product_Name],Tabelle2[Category],"-",0)</f>
        <v>Wheels</v>
      </c>
      <c r="D16">
        <f>_xlfn.XLOOKUP(Tabelle8[[#This Row],[SKU_ID]],Table_Order_History[SKU_ID],Table_Order_History[Total_2024],"-",0)</f>
        <v>289</v>
      </c>
      <c r="E16">
        <f>_xlfn.XLOOKUP(Tabelle8[[#This Row],[SKU_ID]],Tabelle2[SKU_ID],Tabelle2[Unit_Selling_Price_€],"-",0)</f>
        <v>52</v>
      </c>
      <c r="F16" s="4">
        <f>_xlfn.XLOOKUP(Tabelle8[[#This Row],[SKU_ID]],Table_Order_History[SKU_ID],Table_Order_History[Total_Annual_Revenue],"-",0)</f>
        <v>15028</v>
      </c>
      <c r="G16">
        <f>RANK(F16,$F$2:$F$39,0)</f>
        <v>7</v>
      </c>
      <c r="H16" s="13" cm="1">
        <f t="array" ref="H16">SUMPRODUCT((Tabelle8[[#This Row],['#]]&gt;=Tabelle8['#])*Tabelle8[Annual_Revenue])/SUM(Tabelle8[Annual_Revenue])</f>
        <v>0.33277611705475141</v>
      </c>
      <c r="I16" t="str">
        <f>IF(H16&lt;=80%,"A",IF(H16&lt;=95%,"B","C"))</f>
        <v>A</v>
      </c>
      <c r="J16" s="16">
        <f>AVERAGE(_xlfn.XLOOKUP(Tabelle8[[#This Row],[SKU_ID]],Table_Order_History[SKU_ID],Table_Order_History[[Jan-24]:[Dec-24]],"-",0))</f>
        <v>24.083333333333332</v>
      </c>
      <c r="K16" s="15">
        <f>STDEV(_xlfn.XLOOKUP(Tabelle8[[#This Row],[SKU_ID]],Table_Order_History[SKU_ID],Table_Order_History[[Jan-24]:[Dec-24]],"-",0))</f>
        <v>10.067574713209762</v>
      </c>
      <c r="L16" s="13">
        <f>(Tabelle8[[#This Row],[StdDev_Monthly]]/Tabelle8[[#This Row],[Avg_Monthly]])</f>
        <v>0.41803078393950571</v>
      </c>
      <c r="M16" t="str">
        <f>IF(Tabelle8[[#This Row],[CoV]]&lt;=25%,"X",IF(Tabelle8[[#This Row],[CoV]]&lt;=50%,"Y","Z"))</f>
        <v>Y</v>
      </c>
      <c r="N16" t="str">
        <f>Tabelle8[[#This Row],[ABC]]&amp;Tabelle8[[#This Row],[XYZ]]</f>
        <v>AY</v>
      </c>
    </row>
    <row r="17" spans="1:14" x14ac:dyDescent="0.2">
      <c r="A17" t="s">
        <v>83</v>
      </c>
      <c r="B17" t="s">
        <v>84</v>
      </c>
      <c r="C17" t="str">
        <f>_xlfn.XLOOKUP(Tabelle8[[#This Row],[Product_Name]],Tabelle2[Product_Name],Tabelle2[Category],"-",0)</f>
        <v>Wheels</v>
      </c>
      <c r="D17">
        <f>_xlfn.XLOOKUP(Tabelle8[[#This Row],[SKU_ID]],Table_Order_History[SKU_ID],Table_Order_History[Total_2024],"-",0)</f>
        <v>240</v>
      </c>
      <c r="E17">
        <f>_xlfn.XLOOKUP(Tabelle8[[#This Row],[SKU_ID]],Tabelle2[SKU_ID],Tabelle2[Unit_Selling_Price_€],"-",0)</f>
        <v>61</v>
      </c>
      <c r="F17" s="4">
        <f>_xlfn.XLOOKUP(Tabelle8[[#This Row],[SKU_ID]],Table_Order_History[SKU_ID],Table_Order_History[Total_Annual_Revenue],"-",0)</f>
        <v>14640</v>
      </c>
      <c r="G17">
        <f>RANK(F17,$F$2:$F$39,0)</f>
        <v>9</v>
      </c>
      <c r="H17" s="13" cm="1">
        <f t="array" ref="H17">SUMPRODUCT((Tabelle8[[#This Row],['#]]&gt;=Tabelle8['#])*Tabelle8[Annual_Revenue])/SUM(Tabelle8[Annual_Revenue])</f>
        <v>0.40526667715544368</v>
      </c>
      <c r="I17" t="str">
        <f>IF(H17&lt;=80%,"A",IF(H17&lt;=95%,"B","C"))</f>
        <v>A</v>
      </c>
      <c r="J17" s="16">
        <f>AVERAGE(_xlfn.XLOOKUP(Tabelle8[[#This Row],[SKU_ID]],Table_Order_History[SKU_ID],Table_Order_History[[Jan-24]:[Dec-24]],"-",0))</f>
        <v>20</v>
      </c>
      <c r="K17" s="15">
        <f>STDEV(_xlfn.XLOOKUP(Tabelle8[[#This Row],[SKU_ID]],Table_Order_History[SKU_ID],Table_Order_History[[Jan-24]:[Dec-24]],"-",0))</f>
        <v>8.1016272215131959</v>
      </c>
      <c r="L17" s="13">
        <f>(Tabelle8[[#This Row],[StdDev_Monthly]]/Tabelle8[[#This Row],[Avg_Monthly]])</f>
        <v>0.40508136107565978</v>
      </c>
      <c r="M17" t="str">
        <f>IF(Tabelle8[[#This Row],[CoV]]&lt;=25%,"X",IF(Tabelle8[[#This Row],[CoV]]&lt;=50%,"Y","Z"))</f>
        <v>Y</v>
      </c>
      <c r="N17" t="str">
        <f>Tabelle8[[#This Row],[ABC]]&amp;Tabelle8[[#This Row],[XYZ]]</f>
        <v>AY</v>
      </c>
    </row>
    <row r="18" spans="1:14" x14ac:dyDescent="0.2">
      <c r="A18" t="s">
        <v>85</v>
      </c>
      <c r="B18" t="s">
        <v>86</v>
      </c>
      <c r="C18" t="str">
        <f>_xlfn.XLOOKUP(Tabelle8[[#This Row],[Product_Name]],Tabelle2[Product_Name],Tabelle2[Category],"-",0)</f>
        <v>Wheels</v>
      </c>
      <c r="D18">
        <f>_xlfn.XLOOKUP(Tabelle8[[#This Row],[SKU_ID]],Table_Order_History[SKU_ID],Table_Order_History[Total_2024],"-",0)</f>
        <v>44</v>
      </c>
      <c r="E18">
        <f>_xlfn.XLOOKUP(Tabelle8[[#This Row],[SKU_ID]],Tabelle2[SKU_ID],Tabelle2[Unit_Selling_Price_€],"-",0)</f>
        <v>230</v>
      </c>
      <c r="F18" s="4">
        <f>_xlfn.XLOOKUP(Tabelle8[[#This Row],[SKU_ID]],Table_Order_History[SKU_ID],Table_Order_History[Total_Annual_Revenue],"-",0)</f>
        <v>10120</v>
      </c>
      <c r="G18">
        <f>RANK(F18,$F$2:$F$39,0)</f>
        <v>16</v>
      </c>
      <c r="H18" s="13" cm="1">
        <f t="array" ref="H18">SUMPRODUCT((Tabelle8[[#This Row],['#]]&gt;=Tabelle8['#])*Tabelle8[Annual_Revenue])/SUM(Tabelle8[Annual_Revenue])</f>
        <v>0.61205209644430458</v>
      </c>
      <c r="I18" t="str">
        <f>IF(H18&lt;=80%,"A",IF(H18&lt;=95%,"B","C"))</f>
        <v>A</v>
      </c>
      <c r="J18" s="16">
        <f>AVERAGE(_xlfn.XLOOKUP(Tabelle8[[#This Row],[SKU_ID]],Table_Order_History[SKU_ID],Table_Order_History[[Jan-24]:[Dec-24]],"-",0))</f>
        <v>3.6666666666666665</v>
      </c>
      <c r="K18" s="15">
        <f>STDEV(_xlfn.XLOOKUP(Tabelle8[[#This Row],[SKU_ID]],Table_Order_History[SKU_ID],Table_Order_History[[Jan-24]:[Dec-24]],"-",0))</f>
        <v>2.2292817160908509</v>
      </c>
      <c r="L18" s="13">
        <f>(Tabelle8[[#This Row],[StdDev_Monthly]]/Tabelle8[[#This Row],[Avg_Monthly]])</f>
        <v>0.6079859225702321</v>
      </c>
      <c r="M18" t="str">
        <f>IF(Tabelle8[[#This Row],[CoV]]&lt;=25%,"X",IF(Tabelle8[[#This Row],[CoV]]&lt;=50%,"Y","Z"))</f>
        <v>Z</v>
      </c>
      <c r="N18" t="str">
        <f>Tabelle8[[#This Row],[ABC]]&amp;Tabelle8[[#This Row],[XYZ]]</f>
        <v>AZ</v>
      </c>
    </row>
    <row r="19" spans="1:14" x14ac:dyDescent="0.2">
      <c r="A19" t="s">
        <v>88</v>
      </c>
      <c r="B19" t="s">
        <v>89</v>
      </c>
      <c r="C19" t="str">
        <f>_xlfn.XLOOKUP(Tabelle8[[#This Row],[Product_Name]],Tabelle2[Product_Name],Tabelle2[Category],"-",0)</f>
        <v>Wheels</v>
      </c>
      <c r="D19">
        <f>_xlfn.XLOOKUP(Tabelle8[[#This Row],[SKU_ID]],Table_Order_History[SKU_ID],Table_Order_History[Total_2024],"-",0)</f>
        <v>25</v>
      </c>
      <c r="E19">
        <f>_xlfn.XLOOKUP(Tabelle8[[#This Row],[SKU_ID]],Tabelle2[SKU_ID],Tabelle2[Unit_Selling_Price_€],"-",0)</f>
        <v>279</v>
      </c>
      <c r="F19" s="4">
        <f>_xlfn.XLOOKUP(Tabelle8[[#This Row],[SKU_ID]],Table_Order_History[SKU_ID],Table_Order_History[Total_Annual_Revenue],"-",0)</f>
        <v>6975</v>
      </c>
      <c r="G19">
        <f>RANK(F19,$F$2:$F$39,0)</f>
        <v>28</v>
      </c>
      <c r="H19" s="13" cm="1">
        <f t="array" ref="H19">SUMPRODUCT((Tabelle8[[#This Row],['#]]&gt;=Tabelle8['#])*Tabelle8[Annual_Revenue])/SUM(Tabelle8[Annual_Revenue])</f>
        <v>0.86335745752045312</v>
      </c>
      <c r="I19" t="str">
        <f>IF(H19&lt;=80%,"A",IF(H19&lt;=95%,"B","C"))</f>
        <v>B</v>
      </c>
      <c r="J19" s="16">
        <f>AVERAGE(_xlfn.XLOOKUP(Tabelle8[[#This Row],[SKU_ID]],Table_Order_History[SKU_ID],Table_Order_History[[Jan-24]:[Dec-24]],"-",0))</f>
        <v>2.0833333333333335</v>
      </c>
      <c r="K19" s="15">
        <f>STDEV(_xlfn.XLOOKUP(Tabelle8[[#This Row],[SKU_ID]],Table_Order_History[SKU_ID],Table_Order_History[[Jan-24]:[Dec-24]],"-",0))</f>
        <v>1.8319554050414562</v>
      </c>
      <c r="L19" s="13">
        <f>(Tabelle8[[#This Row],[StdDev_Monthly]]/Tabelle8[[#This Row],[Avg_Monthly]])</f>
        <v>0.87933859441989892</v>
      </c>
      <c r="M19" t="str">
        <f>IF(Tabelle8[[#This Row],[CoV]]&lt;=25%,"X",IF(Tabelle8[[#This Row],[CoV]]&lt;=50%,"Y","Z"))</f>
        <v>Z</v>
      </c>
      <c r="N19" t="str">
        <f>Tabelle8[[#This Row],[ABC]]&amp;Tabelle8[[#This Row],[XYZ]]</f>
        <v>BZ</v>
      </c>
    </row>
    <row r="20" spans="1:14" x14ac:dyDescent="0.2">
      <c r="A20" t="s">
        <v>91</v>
      </c>
      <c r="B20" t="s">
        <v>92</v>
      </c>
      <c r="C20" t="str">
        <f>_xlfn.XLOOKUP(Tabelle8[[#This Row],[Product_Name]],Tabelle2[Product_Name],Tabelle2[Category],"-",0)</f>
        <v>Accessories</v>
      </c>
      <c r="D20">
        <f>_xlfn.XLOOKUP(Tabelle8[[#This Row],[SKU_ID]],Table_Order_History[SKU_ID],Table_Order_History[Total_2024],"-",0)</f>
        <v>709</v>
      </c>
      <c r="E20">
        <f>_xlfn.XLOOKUP(Tabelle8[[#This Row],[SKU_ID]],Tabelle2[SKU_ID],Tabelle2[Unit_Selling_Price_€],"-",0)</f>
        <v>11</v>
      </c>
      <c r="F20" s="4">
        <f>_xlfn.XLOOKUP(Tabelle8[[#This Row],[SKU_ID]],Table_Order_History[SKU_ID],Table_Order_History[Total_Annual_Revenue],"-",0)</f>
        <v>7799</v>
      </c>
      <c r="G20">
        <f>RANK(F20,$F$2:$F$39,0)</f>
        <v>25</v>
      </c>
      <c r="H20" s="13" cm="1">
        <f t="array" ref="H20">SUMPRODUCT((Tabelle8[[#This Row],['#]]&gt;=Tabelle8['#])*Tabelle8[Annual_Revenue])/SUM(Tabelle8[Annual_Revenue])</f>
        <v>0.81108893171806162</v>
      </c>
      <c r="I20" t="str">
        <f>IF(H20&lt;=80%,"A",IF(H20&lt;=95%,"B","C"))</f>
        <v>B</v>
      </c>
      <c r="J20" s="16">
        <f>AVERAGE(_xlfn.XLOOKUP(Tabelle8[[#This Row],[SKU_ID]],Table_Order_History[SKU_ID],Table_Order_History[[Jan-24]:[Dec-24]],"-",0))</f>
        <v>59.083333333333336</v>
      </c>
      <c r="K20" s="15">
        <f>STDEV(_xlfn.XLOOKUP(Tabelle8[[#This Row],[SKU_ID]],Table_Order_History[SKU_ID],Table_Order_History[[Jan-24]:[Dec-24]],"-",0))</f>
        <v>8.9184011340530418</v>
      </c>
      <c r="L20" s="13">
        <f>(Tabelle8[[#This Row],[StdDev_Monthly]]/Tabelle8[[#This Row],[Avg_Monthly]])</f>
        <v>0.15094614049172989</v>
      </c>
      <c r="M20" t="str">
        <f>IF(Tabelle8[[#This Row],[CoV]]&lt;=25%,"X",IF(Tabelle8[[#This Row],[CoV]]&lt;=50%,"Y","Z"))</f>
        <v>X</v>
      </c>
      <c r="N20" t="str">
        <f>Tabelle8[[#This Row],[ABC]]&amp;Tabelle8[[#This Row],[XYZ]]</f>
        <v>BX</v>
      </c>
    </row>
    <row r="21" spans="1:14" x14ac:dyDescent="0.2">
      <c r="A21" t="s">
        <v>95</v>
      </c>
      <c r="B21" t="s">
        <v>96</v>
      </c>
      <c r="C21" t="str">
        <f>_xlfn.XLOOKUP(Tabelle8[[#This Row],[Product_Name]],Tabelle2[Product_Name],Tabelle2[Category],"-",0)</f>
        <v>Accessories</v>
      </c>
      <c r="D21">
        <f>_xlfn.XLOOKUP(Tabelle8[[#This Row],[SKU_ID]],Table_Order_History[SKU_ID],Table_Order_History[Total_2024],"-",0)</f>
        <v>339</v>
      </c>
      <c r="E21">
        <f>_xlfn.XLOOKUP(Tabelle8[[#This Row],[SKU_ID]],Tabelle2[SKU_ID],Tabelle2[Unit_Selling_Price_€],"-",0)</f>
        <v>19</v>
      </c>
      <c r="F21" s="4">
        <f>_xlfn.XLOOKUP(Tabelle8[[#This Row],[SKU_ID]],Table_Order_History[SKU_ID],Table_Order_History[Total_Annual_Revenue],"-",0)</f>
        <v>6441</v>
      </c>
      <c r="G21">
        <f>RANK(F21,$F$2:$F$39,0)</f>
        <v>32</v>
      </c>
      <c r="H21" s="13" cm="1">
        <f t="array" ref="H21">SUMPRODUCT((Tabelle8[[#This Row],['#]]&gt;=Tabelle8['#])*Tabelle8[Annual_Revenue])/SUM(Tabelle8[Annual_Revenue])</f>
        <v>0.92918846365638763</v>
      </c>
      <c r="I21" t="str">
        <f>IF(H21&lt;=80%,"A",IF(H21&lt;=95%,"B","C"))</f>
        <v>B</v>
      </c>
      <c r="J21" s="16">
        <f>AVERAGE(_xlfn.XLOOKUP(Tabelle8[[#This Row],[SKU_ID]],Table_Order_History[SKU_ID],Table_Order_History[[Jan-24]:[Dec-24]],"-",0))</f>
        <v>28.25</v>
      </c>
      <c r="K21" s="15">
        <f>STDEV(_xlfn.XLOOKUP(Tabelle8[[#This Row],[SKU_ID]],Table_Order_History[SKU_ID],Table_Order_History[[Jan-24]:[Dec-24]],"-",0))</f>
        <v>4.1368631067073469</v>
      </c>
      <c r="L21" s="13">
        <f>(Tabelle8[[#This Row],[StdDev_Monthly]]/Tabelle8[[#This Row],[Avg_Monthly]])</f>
        <v>0.1464376320958353</v>
      </c>
      <c r="M21" t="str">
        <f>IF(Tabelle8[[#This Row],[CoV]]&lt;=25%,"X",IF(Tabelle8[[#This Row],[CoV]]&lt;=50%,"Y","Z"))</f>
        <v>X</v>
      </c>
      <c r="N21" t="str">
        <f>Tabelle8[[#This Row],[ABC]]&amp;Tabelle8[[#This Row],[XYZ]]</f>
        <v>BX</v>
      </c>
    </row>
    <row r="22" spans="1:14" x14ac:dyDescent="0.2">
      <c r="A22" t="s">
        <v>98</v>
      </c>
      <c r="B22" t="s">
        <v>99</v>
      </c>
      <c r="C22" t="str">
        <f>_xlfn.XLOOKUP(Tabelle8[[#This Row],[Product_Name]],Tabelle2[Product_Name],Tabelle2[Category],"-",0)</f>
        <v>Accessories</v>
      </c>
      <c r="D22">
        <f>_xlfn.XLOOKUP(Tabelle8[[#This Row],[SKU_ID]],Table_Order_History[SKU_ID],Table_Order_History[Total_2024],"-",0)</f>
        <v>264</v>
      </c>
      <c r="E22">
        <f>_xlfn.XLOOKUP(Tabelle8[[#This Row],[SKU_ID]],Tabelle2[SKU_ID],Tabelle2[Unit_Selling_Price_€],"-",0)</f>
        <v>13</v>
      </c>
      <c r="F22" s="4">
        <f>_xlfn.XLOOKUP(Tabelle8[[#This Row],[SKU_ID]],Table_Order_History[SKU_ID],Table_Order_History[Total_Annual_Revenue],"-",0)</f>
        <v>3432</v>
      </c>
      <c r="G22">
        <f>RANK(F22,$F$2:$F$39,0)</f>
        <v>38</v>
      </c>
      <c r="H22" s="13" cm="1">
        <f t="array" ref="H22">SUMPRODUCT((Tabelle8[[#This Row],['#]]&gt;=Tabelle8['#])*Tabelle8[Annual_Revenue])/SUM(Tabelle8[Annual_Revenue])</f>
        <v>1</v>
      </c>
      <c r="I22" t="str">
        <f>IF(H22&lt;=80%,"A",IF(H22&lt;=95%,"B","C"))</f>
        <v>C</v>
      </c>
      <c r="J22" s="16">
        <f>AVERAGE(_xlfn.XLOOKUP(Tabelle8[[#This Row],[SKU_ID]],Table_Order_History[SKU_ID],Table_Order_History[[Jan-24]:[Dec-24]],"-",0))</f>
        <v>22</v>
      </c>
      <c r="K22" s="15">
        <f>STDEV(_xlfn.XLOOKUP(Tabelle8[[#This Row],[SKU_ID]],Table_Order_History[SKU_ID],Table_Order_History[[Jan-24]:[Dec-24]],"-",0))</f>
        <v>4.3900714427816858</v>
      </c>
      <c r="L22" s="13">
        <f>(Tabelle8[[#This Row],[StdDev_Monthly]]/Tabelle8[[#This Row],[Avg_Monthly]])</f>
        <v>0.19954870194462207</v>
      </c>
      <c r="M22" t="str">
        <f>IF(Tabelle8[[#This Row],[CoV]]&lt;=25%,"X",IF(Tabelle8[[#This Row],[CoV]]&lt;=50%,"Y","Z"))</f>
        <v>X</v>
      </c>
      <c r="N22" t="str">
        <f>Tabelle8[[#This Row],[ABC]]&amp;Tabelle8[[#This Row],[XYZ]]</f>
        <v>CX</v>
      </c>
    </row>
    <row r="23" spans="1:14" x14ac:dyDescent="0.2">
      <c r="A23" t="s">
        <v>101</v>
      </c>
      <c r="B23" t="s">
        <v>102</v>
      </c>
      <c r="C23" t="str">
        <f>_xlfn.XLOOKUP(Tabelle8[[#This Row],[Product_Name]],Tabelle2[Product_Name],Tabelle2[Category],"-",0)</f>
        <v>Suspension</v>
      </c>
      <c r="D23">
        <f>_xlfn.XLOOKUP(Tabelle8[[#This Row],[SKU_ID]],Table_Order_History[SKU_ID],Table_Order_History[Total_2024],"-",0)</f>
        <v>76</v>
      </c>
      <c r="E23">
        <f>_xlfn.XLOOKUP(Tabelle8[[#This Row],[SKU_ID]],Tabelle2[SKU_ID],Tabelle2[Unit_Selling_Price_€],"-",0)</f>
        <v>310</v>
      </c>
      <c r="F23" s="4">
        <f>_xlfn.XLOOKUP(Tabelle8[[#This Row],[SKU_ID]],Table_Order_History[SKU_ID],Table_Order_History[Total_Annual_Revenue],"-",0)</f>
        <v>23560</v>
      </c>
      <c r="G23">
        <f>RANK(F23,$F$2:$F$39,0)</f>
        <v>2</v>
      </c>
      <c r="H23" s="13" cm="1">
        <f t="array" ref="H23">SUMPRODUCT((Tabelle8[[#This Row],['#]]&gt;=Tabelle8['#])*Tabelle8[Annual_Revenue])/SUM(Tabelle8[Annual_Revenue])</f>
        <v>0.12170586847073631</v>
      </c>
      <c r="I23" t="str">
        <f>IF(H23&lt;=80%,"A",IF(H23&lt;=95%,"B","C"))</f>
        <v>A</v>
      </c>
      <c r="J23" s="16">
        <f>AVERAGE(_xlfn.XLOOKUP(Tabelle8[[#This Row],[SKU_ID]],Table_Order_History[SKU_ID],Table_Order_History[[Jan-24]:[Dec-24]],"-",0))</f>
        <v>6.333333333333333</v>
      </c>
      <c r="K23" s="15">
        <f>STDEV(_xlfn.XLOOKUP(Tabelle8[[#This Row],[SKU_ID]],Table_Order_History[SKU_ID],Table_Order_History[[Jan-24]:[Dec-24]],"-",0))</f>
        <v>3.3933982252531925</v>
      </c>
      <c r="L23" s="13">
        <f>(Tabelle8[[#This Row],[StdDev_Monthly]]/Tabelle8[[#This Row],[Avg_Monthly]])</f>
        <v>0.53579971977681984</v>
      </c>
      <c r="M23" t="str">
        <f>IF(Tabelle8[[#This Row],[CoV]]&lt;=25%,"X",IF(Tabelle8[[#This Row],[CoV]]&lt;=50%,"Y","Z"))</f>
        <v>Z</v>
      </c>
      <c r="N23" t="str">
        <f>Tabelle8[[#This Row],[ABC]]&amp;Tabelle8[[#This Row],[XYZ]]</f>
        <v>AZ</v>
      </c>
    </row>
    <row r="24" spans="1:14" x14ac:dyDescent="0.2">
      <c r="A24" t="s">
        <v>104</v>
      </c>
      <c r="B24" t="s">
        <v>105</v>
      </c>
      <c r="C24" t="str">
        <f>_xlfn.XLOOKUP(Tabelle8[[#This Row],[Product_Name]],Tabelle2[Product_Name],Tabelle2[Category],"-",0)</f>
        <v>Suspension</v>
      </c>
      <c r="D24">
        <f>_xlfn.XLOOKUP(Tabelle8[[#This Row],[SKU_ID]],Table_Order_History[SKU_ID],Table_Order_History[Total_2024],"-",0)</f>
        <v>17</v>
      </c>
      <c r="E24">
        <f>_xlfn.XLOOKUP(Tabelle8[[#This Row],[SKU_ID]],Tabelle2[SKU_ID],Tabelle2[Unit_Selling_Price_€],"-",0)</f>
        <v>660</v>
      </c>
      <c r="F24" s="4">
        <f>_xlfn.XLOOKUP(Tabelle8[[#This Row],[SKU_ID]],Table_Order_History[SKU_ID],Table_Order_History[Total_Annual_Revenue],"-",0)</f>
        <v>11220</v>
      </c>
      <c r="G24">
        <f>RANK(F24,$F$2:$F$39,0)</f>
        <v>14</v>
      </c>
      <c r="H24" s="13" cm="1">
        <f t="array" ref="H24">SUMPRODUCT((Tabelle8[[#This Row],['#]]&gt;=Tabelle8['#])*Tabelle8[Annual_Revenue])/SUM(Tabelle8[Annual_Revenue])</f>
        <v>0.56179446585903081</v>
      </c>
      <c r="I24" t="str">
        <f>IF(H24&lt;=80%,"A",IF(H24&lt;=95%,"B","C"))</f>
        <v>A</v>
      </c>
      <c r="J24" s="16">
        <f>AVERAGE(_xlfn.XLOOKUP(Tabelle8[[#This Row],[SKU_ID]],Table_Order_History[SKU_ID],Table_Order_History[[Jan-24]:[Dec-24]],"-",0))</f>
        <v>1.4166666666666667</v>
      </c>
      <c r="K24" s="15">
        <f>STDEV(_xlfn.XLOOKUP(Tabelle8[[#This Row],[SKU_ID]],Table_Order_History[SKU_ID],Table_Order_History[[Jan-24]:[Dec-24]],"-",0))</f>
        <v>1.164500152881315</v>
      </c>
      <c r="L24" s="13">
        <f>(Tabelle8[[#This Row],[StdDev_Monthly]]/Tabelle8[[#This Row],[Avg_Monthly]])</f>
        <v>0.82200010791622236</v>
      </c>
      <c r="M24" t="str">
        <f>IF(Tabelle8[[#This Row],[CoV]]&lt;=25%,"X",IF(Tabelle8[[#This Row],[CoV]]&lt;=50%,"Y","Z"))</f>
        <v>Z</v>
      </c>
      <c r="N24" t="str">
        <f>Tabelle8[[#This Row],[ABC]]&amp;Tabelle8[[#This Row],[XYZ]]</f>
        <v>AZ</v>
      </c>
    </row>
    <row r="25" spans="1:14" x14ac:dyDescent="0.2">
      <c r="A25" t="s">
        <v>107</v>
      </c>
      <c r="B25" t="s">
        <v>108</v>
      </c>
      <c r="C25" t="str">
        <f>_xlfn.XLOOKUP(Tabelle8[[#This Row],[Product_Name]],Tabelle2[Product_Name],Tabelle2[Category],"-",0)</f>
        <v>Suspension</v>
      </c>
      <c r="D25">
        <f>_xlfn.XLOOKUP(Tabelle8[[#This Row],[SKU_ID]],Table_Order_History[SKU_ID],Table_Order_History[Total_2024],"-",0)</f>
        <v>83</v>
      </c>
      <c r="E25">
        <f>_xlfn.XLOOKUP(Tabelle8[[#This Row],[SKU_ID]],Tabelle2[SKU_ID],Tabelle2[Unit_Selling_Price_€],"-",0)</f>
        <v>140</v>
      </c>
      <c r="F25" s="4">
        <f>_xlfn.XLOOKUP(Tabelle8[[#This Row],[SKU_ID]],Table_Order_History[SKU_ID],Table_Order_History[Total_Annual_Revenue],"-",0)</f>
        <v>11620</v>
      </c>
      <c r="G25">
        <f>RANK(F25,$F$2:$F$39,0)</f>
        <v>13</v>
      </c>
      <c r="H25" s="13" cm="1">
        <f t="array" ref="H25">SUMPRODUCT((Tabelle8[[#This Row],['#]]&gt;=Tabelle8['#])*Tabelle8[Annual_Revenue])/SUM(Tabelle8[Annual_Revenue])</f>
        <v>0.53421226006922595</v>
      </c>
      <c r="I25" t="str">
        <f>IF(H25&lt;=80%,"A",IF(H25&lt;=95%,"B","C"))</f>
        <v>A</v>
      </c>
      <c r="J25" s="16">
        <f>AVERAGE(_xlfn.XLOOKUP(Tabelle8[[#This Row],[SKU_ID]],Table_Order_History[SKU_ID],Table_Order_History[[Jan-24]:[Dec-24]],"-",0))</f>
        <v>6.916666666666667</v>
      </c>
      <c r="K25" s="15">
        <f>STDEV(_xlfn.XLOOKUP(Tabelle8[[#This Row],[SKU_ID]],Table_Order_History[SKU_ID],Table_Order_History[[Jan-24]:[Dec-24]],"-",0))</f>
        <v>2.9374798516394756</v>
      </c>
      <c r="L25" s="13">
        <f>(Tabelle8[[#This Row],[StdDev_Monthly]]/Tabelle8[[#This Row],[Avg_Monthly]])</f>
        <v>0.42469588216474341</v>
      </c>
      <c r="M25" t="str">
        <f>IF(Tabelle8[[#This Row],[CoV]]&lt;=25%,"X",IF(Tabelle8[[#This Row],[CoV]]&lt;=50%,"Y","Z"))</f>
        <v>Y</v>
      </c>
      <c r="N25" t="str">
        <f>Tabelle8[[#This Row],[ABC]]&amp;Tabelle8[[#This Row],[XYZ]]</f>
        <v>AY</v>
      </c>
    </row>
    <row r="26" spans="1:14" x14ac:dyDescent="0.2">
      <c r="A26" t="s">
        <v>110</v>
      </c>
      <c r="B26" t="s">
        <v>111</v>
      </c>
      <c r="C26" t="str">
        <f>_xlfn.XLOOKUP(Tabelle8[[#This Row],[Product_Name]],Tabelle2[Product_Name],Tabelle2[Category],"-",0)</f>
        <v>Accessories</v>
      </c>
      <c r="D26">
        <f>_xlfn.XLOOKUP(Tabelle8[[#This Row],[SKU_ID]],Table_Order_History[SKU_ID],Table_Order_History[Total_2024],"-",0)</f>
        <v>305</v>
      </c>
      <c r="E26">
        <f>_xlfn.XLOOKUP(Tabelle8[[#This Row],[SKU_ID]],Tabelle2[SKU_ID],Tabelle2[Unit_Selling_Price_€],"-",0)</f>
        <v>23</v>
      </c>
      <c r="F26" s="4">
        <f>_xlfn.XLOOKUP(Tabelle8[[#This Row],[SKU_ID]],Table_Order_History[SKU_ID],Table_Order_History[Total_Annual_Revenue],"-",0)</f>
        <v>7015</v>
      </c>
      <c r="G26">
        <f>RANK(F26,$F$2:$F$39,0)</f>
        <v>27</v>
      </c>
      <c r="H26" s="13" cm="1">
        <f t="array" ref="H26">SUMPRODUCT((Tabelle8[[#This Row],['#]]&gt;=Tabelle8['#])*Tabelle8[Annual_Revenue])/SUM(Tabelle8[Annual_Revenue])</f>
        <v>0.84621076541850215</v>
      </c>
      <c r="I26" t="str">
        <f>IF(H26&lt;=80%,"A",IF(H26&lt;=95%,"B","C"))</f>
        <v>B</v>
      </c>
      <c r="J26" s="16">
        <f>AVERAGE(_xlfn.XLOOKUP(Tabelle8[[#This Row],[SKU_ID]],Table_Order_History[SKU_ID],Table_Order_History[[Jan-24]:[Dec-24]],"-",0))</f>
        <v>25.416666666666668</v>
      </c>
      <c r="K26" s="15">
        <f>STDEV(_xlfn.XLOOKUP(Tabelle8[[#This Row],[SKU_ID]],Table_Order_History[SKU_ID],Table_Order_History[[Jan-24]:[Dec-24]],"-",0))</f>
        <v>4.1878250665326044</v>
      </c>
      <c r="L26" s="13">
        <f>(Tabelle8[[#This Row],[StdDev_Monthly]]/Tabelle8[[#This Row],[Avg_Monthly]])</f>
        <v>0.16476688786357788</v>
      </c>
      <c r="M26" t="str">
        <f>IF(Tabelle8[[#This Row],[CoV]]&lt;=25%,"X",IF(Tabelle8[[#This Row],[CoV]]&lt;=50%,"Y","Z"))</f>
        <v>X</v>
      </c>
      <c r="N26" t="str">
        <f>Tabelle8[[#This Row],[ABC]]&amp;Tabelle8[[#This Row],[XYZ]]</f>
        <v>BX</v>
      </c>
    </row>
    <row r="27" spans="1:14" x14ac:dyDescent="0.2">
      <c r="A27" t="s">
        <v>113</v>
      </c>
      <c r="B27" t="s">
        <v>114</v>
      </c>
      <c r="C27" t="str">
        <f>_xlfn.XLOOKUP(Tabelle8[[#This Row],[Product_Name]],Tabelle2[Product_Name],Tabelle2[Category],"-",0)</f>
        <v>Accessories</v>
      </c>
      <c r="D27">
        <f>_xlfn.XLOOKUP(Tabelle8[[#This Row],[SKU_ID]],Table_Order_History[SKU_ID],Table_Order_History[Total_2024],"-",0)</f>
        <v>146</v>
      </c>
      <c r="E27">
        <f>_xlfn.XLOOKUP(Tabelle8[[#This Row],[SKU_ID]],Tabelle2[SKU_ID],Tabelle2[Unit_Selling_Price_€],"-",0)</f>
        <v>47</v>
      </c>
      <c r="F27" s="4">
        <f>_xlfn.XLOOKUP(Tabelle8[[#This Row],[SKU_ID]],Table_Order_History[SKU_ID],Table_Order_History[Total_Annual_Revenue],"-",0)</f>
        <v>6862</v>
      </c>
      <c r="G27">
        <f>RANK(F27,$F$2:$F$39,0)</f>
        <v>30</v>
      </c>
      <c r="H27" s="13" cm="1">
        <f t="array" ref="H27">SUMPRODUCT((Tabelle8[[#This Row],['#]]&gt;=Tabelle8['#])*Tabelle8[Annual_Revenue])/SUM(Tabelle8[Annual_Revenue])</f>
        <v>0.89727717904342352</v>
      </c>
      <c r="I27" t="str">
        <f>IF(H27&lt;=80%,"A",IF(H27&lt;=95%,"B","C"))</f>
        <v>B</v>
      </c>
      <c r="J27" s="16">
        <f>AVERAGE(_xlfn.XLOOKUP(Tabelle8[[#This Row],[SKU_ID]],Table_Order_History[SKU_ID],Table_Order_History[[Jan-24]:[Dec-24]],"-",0))</f>
        <v>12.166666666666666</v>
      </c>
      <c r="K27" s="15">
        <f>STDEV(_xlfn.XLOOKUP(Tabelle8[[#This Row],[SKU_ID]],Table_Order_History[SKU_ID],Table_Order_History[[Jan-24]:[Dec-24]],"-",0))</f>
        <v>3.5632807491088467</v>
      </c>
      <c r="L27" s="13">
        <f>(Tabelle8[[#This Row],[StdDev_Monthly]]/Tabelle8[[#This Row],[Avg_Monthly]])</f>
        <v>0.29287239033771345</v>
      </c>
      <c r="M27" t="str">
        <f>IF(Tabelle8[[#This Row],[CoV]]&lt;=25%,"X",IF(Tabelle8[[#This Row],[CoV]]&lt;=50%,"Y","Z"))</f>
        <v>Y</v>
      </c>
      <c r="N27" t="str">
        <f>Tabelle8[[#This Row],[ABC]]&amp;Tabelle8[[#This Row],[XYZ]]</f>
        <v>BY</v>
      </c>
    </row>
    <row r="28" spans="1:14" x14ac:dyDescent="0.2">
      <c r="A28" t="s">
        <v>116</v>
      </c>
      <c r="B28" t="s">
        <v>117</v>
      </c>
      <c r="C28" t="str">
        <f>_xlfn.XLOOKUP(Tabelle8[[#This Row],[Product_Name]],Tabelle2[Product_Name],Tabelle2[Category],"-",0)</f>
        <v>Frame Parts</v>
      </c>
      <c r="D28">
        <f>_xlfn.XLOOKUP(Tabelle8[[#This Row],[SKU_ID]],Table_Order_History[SKU_ID],Table_Order_History[Total_2024],"-",0)</f>
        <v>72</v>
      </c>
      <c r="E28">
        <f>_xlfn.XLOOKUP(Tabelle8[[#This Row],[SKU_ID]],Tabelle2[SKU_ID],Tabelle2[Unit_Selling_Price_€],"-",0)</f>
        <v>115</v>
      </c>
      <c r="F28" s="4">
        <f>_xlfn.XLOOKUP(Tabelle8[[#This Row],[SKU_ID]],Table_Order_History[SKU_ID],Table_Order_History[Total_Annual_Revenue],"-",0)</f>
        <v>8280</v>
      </c>
      <c r="G28">
        <f>RANK(F28,$F$2:$F$39,0)</f>
        <v>23</v>
      </c>
      <c r="H28" s="13" cm="1">
        <f t="array" ref="H28">SUMPRODUCT((Tabelle8[[#This Row],['#]]&gt;=Tabelle8['#])*Tabelle8[Annual_Revenue])/SUM(Tabelle8[Annual_Revenue])</f>
        <v>0.77209280601006924</v>
      </c>
      <c r="I28" t="str">
        <f>IF(H28&lt;=80%,"A",IF(H28&lt;=95%,"B","C"))</f>
        <v>A</v>
      </c>
      <c r="J28" s="16">
        <f>AVERAGE(_xlfn.XLOOKUP(Tabelle8[[#This Row],[SKU_ID]],Table_Order_History[SKU_ID],Table_Order_History[[Jan-24]:[Dec-24]],"-",0))</f>
        <v>6</v>
      </c>
      <c r="K28" s="15">
        <f>STDEV(_xlfn.XLOOKUP(Tabelle8[[#This Row],[SKU_ID]],Table_Order_History[SKU_ID],Table_Order_History[[Jan-24]:[Dec-24]],"-",0))</f>
        <v>2.8919952219248848</v>
      </c>
      <c r="L28" s="13">
        <f>(Tabelle8[[#This Row],[StdDev_Monthly]]/Tabelle8[[#This Row],[Avg_Monthly]])</f>
        <v>0.48199920365414745</v>
      </c>
      <c r="M28" t="str">
        <f>IF(Tabelle8[[#This Row],[CoV]]&lt;=25%,"X",IF(Tabelle8[[#This Row],[CoV]]&lt;=50%,"Y","Z"))</f>
        <v>Y</v>
      </c>
      <c r="N28" t="str">
        <f>Tabelle8[[#This Row],[ABC]]&amp;Tabelle8[[#This Row],[XYZ]]</f>
        <v>AY</v>
      </c>
    </row>
    <row r="29" spans="1:14" x14ac:dyDescent="0.2">
      <c r="A29" t="s">
        <v>120</v>
      </c>
      <c r="B29" t="s">
        <v>121</v>
      </c>
      <c r="C29" t="str">
        <f>_xlfn.XLOOKUP(Tabelle8[[#This Row],[Product_Name]],Tabelle2[Product_Name],Tabelle2[Category],"-",0)</f>
        <v>Frame Parts</v>
      </c>
      <c r="D29">
        <f>_xlfn.XLOOKUP(Tabelle8[[#This Row],[SKU_ID]],Table_Order_History[SKU_ID],Table_Order_History[Total_2024],"-",0)</f>
        <v>60</v>
      </c>
      <c r="E29">
        <f>_xlfn.XLOOKUP(Tabelle8[[#This Row],[SKU_ID]],Tabelle2[SKU_ID],Tabelle2[Unit_Selling_Price_€],"-",0)</f>
        <v>109</v>
      </c>
      <c r="F29" s="4">
        <f>_xlfn.XLOOKUP(Tabelle8[[#This Row],[SKU_ID]],Table_Order_History[SKU_ID],Table_Order_History[Total_Annual_Revenue],"-",0)</f>
        <v>6540</v>
      </c>
      <c r="G29">
        <f>RANK(F29,$F$2:$F$39,0)</f>
        <v>31</v>
      </c>
      <c r="H29" s="13" cm="1">
        <f t="array" ref="H29">SUMPRODUCT((Tabelle8[[#This Row],['#]]&gt;=Tabelle8['#])*Tabelle8[Annual_Revenue])/SUM(Tabelle8[Annual_Revenue])</f>
        <v>0.91335450755191949</v>
      </c>
      <c r="I29" t="str">
        <f>IF(H29&lt;=80%,"A",IF(H29&lt;=95%,"B","C"))</f>
        <v>B</v>
      </c>
      <c r="J29" s="16">
        <f>AVERAGE(_xlfn.XLOOKUP(Tabelle8[[#This Row],[SKU_ID]],Table_Order_History[SKU_ID],Table_Order_History[[Jan-24]:[Dec-24]],"-",0))</f>
        <v>5</v>
      </c>
      <c r="K29" s="15">
        <f>STDEV(_xlfn.XLOOKUP(Tabelle8[[#This Row],[SKU_ID]],Table_Order_History[SKU_ID],Table_Order_History[[Jan-24]:[Dec-24]],"-",0))</f>
        <v>2.3354968324845689</v>
      </c>
      <c r="L29" s="13">
        <f>(Tabelle8[[#This Row],[StdDev_Monthly]]/Tabelle8[[#This Row],[Avg_Monthly]])</f>
        <v>0.46709936649691375</v>
      </c>
      <c r="M29" t="str">
        <f>IF(Tabelle8[[#This Row],[CoV]]&lt;=25%,"X",IF(Tabelle8[[#This Row],[CoV]]&lt;=50%,"Y","Z"))</f>
        <v>Y</v>
      </c>
      <c r="N29" t="str">
        <f>Tabelle8[[#This Row],[ABC]]&amp;Tabelle8[[#This Row],[XYZ]]</f>
        <v>BY</v>
      </c>
    </row>
    <row r="30" spans="1:14" x14ac:dyDescent="0.2">
      <c r="A30" t="s">
        <v>123</v>
      </c>
      <c r="B30" t="s">
        <v>124</v>
      </c>
      <c r="C30" t="str">
        <f>_xlfn.XLOOKUP(Tabelle8[[#This Row],[Product_Name]],Tabelle2[Product_Name],Tabelle2[Category],"-",0)</f>
        <v>Frame Parts</v>
      </c>
      <c r="D30">
        <f>_xlfn.XLOOKUP(Tabelle8[[#This Row],[SKU_ID]],Table_Order_History[SKU_ID],Table_Order_History[Total_2024],"-",0)</f>
        <v>102</v>
      </c>
      <c r="E30">
        <f>_xlfn.XLOOKUP(Tabelle8[[#This Row],[SKU_ID]],Tabelle2[SKU_ID],Tabelle2[Unit_Selling_Price_€],"-",0)</f>
        <v>68</v>
      </c>
      <c r="F30" s="4">
        <f>_xlfn.XLOOKUP(Tabelle8[[#This Row],[SKU_ID]],Table_Order_History[SKU_ID],Table_Order_History[Total_Annual_Revenue],"-",0)</f>
        <v>6936</v>
      </c>
      <c r="G30">
        <f>RANK(F30,$F$2:$F$39,0)</f>
        <v>29</v>
      </c>
      <c r="H30" s="13" cm="1">
        <f t="array" ref="H30">SUMPRODUCT((Tabelle8[[#This Row],['#]]&gt;=Tabelle8['#])*Tabelle8[Annual_Revenue])/SUM(Tabelle8[Annual_Revenue])</f>
        <v>0.88040827564505975</v>
      </c>
      <c r="I30" t="str">
        <f>IF(H30&lt;=80%,"A",IF(H30&lt;=95%,"B","C"))</f>
        <v>B</v>
      </c>
      <c r="J30" s="16">
        <f>AVERAGE(_xlfn.XLOOKUP(Tabelle8[[#This Row],[SKU_ID]],Table_Order_History[SKU_ID],Table_Order_History[[Jan-24]:[Dec-24]],"-",0))</f>
        <v>8.5</v>
      </c>
      <c r="K30" s="15">
        <f>STDEV(_xlfn.XLOOKUP(Tabelle8[[#This Row],[SKU_ID]],Table_Order_History[SKU_ID],Table_Order_History[[Jan-24]:[Dec-24]],"-",0))</f>
        <v>1.9771421064483223</v>
      </c>
      <c r="L30" s="13">
        <f>(Tabelle8[[#This Row],[StdDev_Monthly]]/Tabelle8[[#This Row],[Avg_Monthly]])</f>
        <v>0.23260495369980264</v>
      </c>
      <c r="M30" t="str">
        <f>IF(Tabelle8[[#This Row],[CoV]]&lt;=25%,"X",IF(Tabelle8[[#This Row],[CoV]]&lt;=50%,"Y","Z"))</f>
        <v>X</v>
      </c>
      <c r="N30" t="str">
        <f>Tabelle8[[#This Row],[ABC]]&amp;Tabelle8[[#This Row],[XYZ]]</f>
        <v>BX</v>
      </c>
    </row>
    <row r="31" spans="1:14" x14ac:dyDescent="0.2">
      <c r="A31" t="s">
        <v>126</v>
      </c>
      <c r="B31" t="s">
        <v>127</v>
      </c>
      <c r="C31" t="str">
        <f>_xlfn.XLOOKUP(Tabelle8[[#This Row],[Product_Name]],Tabelle2[Product_Name],Tabelle2[Category],"-",0)</f>
        <v>Drivetrain</v>
      </c>
      <c r="D31">
        <f>_xlfn.XLOOKUP(Tabelle8[[#This Row],[SKU_ID]],Table_Order_History[SKU_ID],Table_Order_History[Total_2024],"-",0)</f>
        <v>248</v>
      </c>
      <c r="E31">
        <f>_xlfn.XLOOKUP(Tabelle8[[#This Row],[SKU_ID]],Tabelle2[SKU_ID],Tabelle2[Unit_Selling_Price_€],"-",0)</f>
        <v>34</v>
      </c>
      <c r="F31" s="4">
        <f>_xlfn.XLOOKUP(Tabelle8[[#This Row],[SKU_ID]],Table_Order_History[SKU_ID],Table_Order_History[Total_Annual_Revenue],"-",0)</f>
        <v>8432</v>
      </c>
      <c r="G31">
        <f>RANK(F31,$F$2:$F$39,0)</f>
        <v>22</v>
      </c>
      <c r="H31" s="13" cm="1">
        <f t="array" ref="H31">SUMPRODUCT((Tabelle8[[#This Row],['#]]&gt;=Tabelle8['#])*Tabelle8[Annual_Revenue])/SUM(Tabelle8[Annual_Revenue])</f>
        <v>0.75173802312775329</v>
      </c>
      <c r="I31" t="str">
        <f>IF(H31&lt;=80%,"A",IF(H31&lt;=95%,"B","C"))</f>
        <v>A</v>
      </c>
      <c r="J31" s="16">
        <f>AVERAGE(_xlfn.XLOOKUP(Tabelle8[[#This Row],[SKU_ID]],Table_Order_History[SKU_ID],Table_Order_History[[Jan-24]:[Dec-24]],"-",0))</f>
        <v>20.666666666666668</v>
      </c>
      <c r="K31" s="15">
        <f>STDEV(_xlfn.XLOOKUP(Tabelle8[[#This Row],[SKU_ID]],Table_Order_History[SKU_ID],Table_Order_History[[Jan-24]:[Dec-24]],"-",0))</f>
        <v>4.8492423650660674</v>
      </c>
      <c r="L31" s="13">
        <f>(Tabelle8[[#This Row],[StdDev_Monthly]]/Tabelle8[[#This Row],[Avg_Monthly]])</f>
        <v>0.23464075959997099</v>
      </c>
      <c r="M31" t="str">
        <f>IF(Tabelle8[[#This Row],[CoV]]&lt;=25%,"X",IF(Tabelle8[[#This Row],[CoV]]&lt;=50%,"Y","Z"))</f>
        <v>X</v>
      </c>
      <c r="N31" t="str">
        <f>Tabelle8[[#This Row],[ABC]]&amp;Tabelle8[[#This Row],[XYZ]]</f>
        <v>AX</v>
      </c>
    </row>
    <row r="32" spans="1:14" x14ac:dyDescent="0.2">
      <c r="A32" t="s">
        <v>128</v>
      </c>
      <c r="B32" t="s">
        <v>129</v>
      </c>
      <c r="C32" t="str">
        <f>_xlfn.XLOOKUP(Tabelle8[[#This Row],[Product_Name]],Tabelle2[Product_Name],Tabelle2[Category],"-",0)</f>
        <v>Electrics</v>
      </c>
      <c r="D32">
        <f>_xlfn.XLOOKUP(Tabelle8[[#This Row],[SKU_ID]],Table_Order_History[SKU_ID],Table_Order_History[Total_2024],"-",0)</f>
        <v>117</v>
      </c>
      <c r="E32">
        <f>_xlfn.XLOOKUP(Tabelle8[[#This Row],[SKU_ID]],Tabelle2[SKU_ID],Tabelle2[Unit_Selling_Price_€],"-",0)</f>
        <v>55</v>
      </c>
      <c r="F32" s="4">
        <f>_xlfn.XLOOKUP(Tabelle8[[#This Row],[SKU_ID]],Table_Order_History[SKU_ID],Table_Order_History[Total_Annual_Revenue],"-",0)</f>
        <v>6435</v>
      </c>
      <c r="G32">
        <f>RANK(F32,$F$2:$F$39,0)</f>
        <v>33</v>
      </c>
      <c r="H32" s="13" cm="1">
        <f t="array" ref="H32">SUMPRODUCT((Tabelle8[[#This Row],['#]]&gt;=Tabelle8['#])*Tabelle8[Annual_Revenue])/SUM(Tabelle8[Annual_Revenue])</f>
        <v>0.94500766991818752</v>
      </c>
      <c r="I32" t="str">
        <f>IF(H32&lt;=80%,"A",IF(H32&lt;=95%,"B","C"))</f>
        <v>B</v>
      </c>
      <c r="J32" s="16">
        <f>AVERAGE(_xlfn.XLOOKUP(Tabelle8[[#This Row],[SKU_ID]],Table_Order_History[SKU_ID],Table_Order_History[[Jan-24]:[Dec-24]],"-",0))</f>
        <v>9.75</v>
      </c>
      <c r="K32" s="15">
        <f>STDEV(_xlfn.XLOOKUP(Tabelle8[[#This Row],[SKU_ID]],Table_Order_History[SKU_ID],Table_Order_History[[Jan-24]:[Dec-24]],"-",0))</f>
        <v>2.9886147596868655</v>
      </c>
      <c r="L32" s="13">
        <f>(Tabelle8[[#This Row],[StdDev_Monthly]]/Tabelle8[[#This Row],[Avg_Monthly]])</f>
        <v>0.30652459073711441</v>
      </c>
      <c r="M32" t="str">
        <f>IF(Tabelle8[[#This Row],[CoV]]&lt;=25%,"X",IF(Tabelle8[[#This Row],[CoV]]&lt;=50%,"Y","Z"))</f>
        <v>Y</v>
      </c>
      <c r="N32" t="str">
        <f>Tabelle8[[#This Row],[ABC]]&amp;Tabelle8[[#This Row],[XYZ]]</f>
        <v>BY</v>
      </c>
    </row>
    <row r="33" spans="1:14" x14ac:dyDescent="0.2">
      <c r="A33" t="s">
        <v>130</v>
      </c>
      <c r="B33" t="s">
        <v>131</v>
      </c>
      <c r="C33" t="str">
        <f>_xlfn.XLOOKUP(Tabelle8[[#This Row],[Product_Name]],Tabelle2[Product_Name],Tabelle2[Category],"-",0)</f>
        <v>Electrics</v>
      </c>
      <c r="D33">
        <f>_xlfn.XLOOKUP(Tabelle8[[#This Row],[SKU_ID]],Table_Order_History[SKU_ID],Table_Order_History[Total_2024],"-",0)</f>
        <v>58</v>
      </c>
      <c r="E33">
        <f>_xlfn.XLOOKUP(Tabelle8[[#This Row],[SKU_ID]],Tabelle2[SKU_ID],Tabelle2[Unit_Selling_Price_€],"-",0)</f>
        <v>178</v>
      </c>
      <c r="F33" s="4">
        <f>_xlfn.XLOOKUP(Tabelle8[[#This Row],[SKU_ID]],Table_Order_History[SKU_ID],Table_Order_History[Total_Annual_Revenue],"-",0)</f>
        <v>10324</v>
      </c>
      <c r="G33">
        <f>RANK(F33,$F$2:$F$39,0)</f>
        <v>15</v>
      </c>
      <c r="H33" s="13" cm="1">
        <f t="array" ref="H33">SUMPRODUCT((Tabelle8[[#This Row],['#]]&gt;=Tabelle8['#])*Tabelle8[Annual_Revenue])/SUM(Tabelle8[Annual_Revenue])</f>
        <v>0.5871740284770296</v>
      </c>
      <c r="I33" t="str">
        <f>IF(H33&lt;=80%,"A",IF(H33&lt;=95%,"B","C"))</f>
        <v>A</v>
      </c>
      <c r="J33" s="16">
        <f>AVERAGE(_xlfn.XLOOKUP(Tabelle8[[#This Row],[SKU_ID]],Table_Order_History[SKU_ID],Table_Order_History[[Jan-24]:[Dec-24]],"-",0))</f>
        <v>4.833333333333333</v>
      </c>
      <c r="K33" s="15">
        <f>STDEV(_xlfn.XLOOKUP(Tabelle8[[#This Row],[SKU_ID]],Table_Order_History[SKU_ID],Table_Order_History[[Jan-24]:[Dec-24]],"-",0))</f>
        <v>1.8989630344113093</v>
      </c>
      <c r="L33" s="13">
        <f>(Tabelle8[[#This Row],[StdDev_Monthly]]/Tabelle8[[#This Row],[Avg_Monthly]])</f>
        <v>0.39288890367130541</v>
      </c>
      <c r="M33" t="str">
        <f>IF(Tabelle8[[#This Row],[CoV]]&lt;=25%,"X",IF(Tabelle8[[#This Row],[CoV]]&lt;=50%,"Y","Z"))</f>
        <v>Y</v>
      </c>
      <c r="N33" t="str">
        <f>Tabelle8[[#This Row],[ABC]]&amp;Tabelle8[[#This Row],[XYZ]]</f>
        <v>AY</v>
      </c>
    </row>
    <row r="34" spans="1:14" x14ac:dyDescent="0.2">
      <c r="A34" t="s">
        <v>133</v>
      </c>
      <c r="B34" t="s">
        <v>134</v>
      </c>
      <c r="C34" t="str">
        <f>_xlfn.XLOOKUP(Tabelle8[[#This Row],[Product_Name]],Tabelle2[Product_Name],Tabelle2[Category],"-",0)</f>
        <v>Electrics</v>
      </c>
      <c r="D34">
        <f>_xlfn.XLOOKUP(Tabelle8[[#This Row],[SKU_ID]],Table_Order_History[SKU_ID],Table_Order_History[Total_2024],"-",0)</f>
        <v>78</v>
      </c>
      <c r="E34">
        <f>_xlfn.XLOOKUP(Tabelle8[[#This Row],[SKU_ID]],Tabelle2[SKU_ID],Tabelle2[Unit_Selling_Price_€],"-",0)</f>
        <v>125</v>
      </c>
      <c r="F34" s="4">
        <f>_xlfn.XLOOKUP(Tabelle8[[#This Row],[SKU_ID]],Table_Order_History[SKU_ID],Table_Order_History[Total_Annual_Revenue],"-",0)</f>
        <v>9750</v>
      </c>
      <c r="G34">
        <f>RANK(F34,$F$2:$F$39,0)</f>
        <v>19</v>
      </c>
      <c r="H34" s="13" cm="1">
        <f t="array" ref="H34">SUMPRODUCT((Tabelle8[[#This Row],['#]]&gt;=Tabelle8['#])*Tabelle8[Annual_Revenue])/SUM(Tabelle8[Annual_Revenue])</f>
        <v>0.68419357693517935</v>
      </c>
      <c r="I34" t="str">
        <f>IF(H34&lt;=80%,"A",IF(H34&lt;=95%,"B","C"))</f>
        <v>A</v>
      </c>
      <c r="J34" s="16">
        <f>AVERAGE(_xlfn.XLOOKUP(Tabelle8[[#This Row],[SKU_ID]],Table_Order_History[SKU_ID],Table_Order_History[[Jan-24]:[Dec-24]],"-",0))</f>
        <v>6.5</v>
      </c>
      <c r="K34" s="15">
        <f>STDEV(_xlfn.XLOOKUP(Tabelle8[[#This Row],[SKU_ID]],Table_Order_History[SKU_ID],Table_Order_History[[Jan-24]:[Dec-24]],"-",0))</f>
        <v>2.1532216876958201</v>
      </c>
      <c r="L34" s="13">
        <f>(Tabelle8[[#This Row],[StdDev_Monthly]]/Tabelle8[[#This Row],[Avg_Monthly]])</f>
        <v>0.33126487503012619</v>
      </c>
      <c r="M34" t="str">
        <f>IF(Tabelle8[[#This Row],[CoV]]&lt;=25%,"X",IF(Tabelle8[[#This Row],[CoV]]&lt;=50%,"Y","Z"))</f>
        <v>Y</v>
      </c>
      <c r="N34" t="str">
        <f>Tabelle8[[#This Row],[ABC]]&amp;Tabelle8[[#This Row],[XYZ]]</f>
        <v>AY</v>
      </c>
    </row>
    <row r="35" spans="1:14" x14ac:dyDescent="0.2">
      <c r="A35" t="s">
        <v>135</v>
      </c>
      <c r="B35" t="s">
        <v>136</v>
      </c>
      <c r="C35" t="str">
        <f>_xlfn.XLOOKUP(Tabelle8[[#This Row],[Product_Name]],Tabelle2[Product_Name],Tabelle2[Category],"-",0)</f>
        <v>Accessories</v>
      </c>
      <c r="D35">
        <f>_xlfn.XLOOKUP(Tabelle8[[#This Row],[SKU_ID]],Table_Order_History[SKU_ID],Table_Order_History[Total_2024],"-",0)</f>
        <v>90</v>
      </c>
      <c r="E35">
        <f>_xlfn.XLOOKUP(Tabelle8[[#This Row],[SKU_ID]],Tabelle2[SKU_ID],Tabelle2[Unit_Selling_Price_€],"-",0)</f>
        <v>109</v>
      </c>
      <c r="F35" s="4">
        <f>_xlfn.XLOOKUP(Tabelle8[[#This Row],[SKU_ID]],Table_Order_History[SKU_ID],Table_Order_History[Total_Annual_Revenue],"-",0)</f>
        <v>9810</v>
      </c>
      <c r="G35">
        <f>RANK(F35,$F$2:$F$39,0)</f>
        <v>17</v>
      </c>
      <c r="H35" s="13" cm="1">
        <f t="array" ref="H35">SUMPRODUCT((Tabelle8[[#This Row],['#]]&gt;=Tabelle8['#])*Tabelle8[Annual_Revenue])/SUM(Tabelle8[Annual_Revenue])</f>
        <v>0.63616808920704848</v>
      </c>
      <c r="I35" t="str">
        <f>IF(H35&lt;=80%,"A",IF(H35&lt;=95%,"B","C"))</f>
        <v>A</v>
      </c>
      <c r="J35" s="16">
        <f>AVERAGE(_xlfn.XLOOKUP(Tabelle8[[#This Row],[SKU_ID]],Table_Order_History[SKU_ID],Table_Order_History[[Jan-24]:[Dec-24]],"-",0))</f>
        <v>7.5</v>
      </c>
      <c r="K35" s="15">
        <f>STDEV(_xlfn.XLOOKUP(Tabelle8[[#This Row],[SKU_ID]],Table_Order_History[SKU_ID],Table_Order_History[[Jan-24]:[Dec-24]],"-",0))</f>
        <v>1.7320508075688772</v>
      </c>
      <c r="L35" s="13">
        <f>(Tabelle8[[#This Row],[StdDev_Monthly]]/Tabelle8[[#This Row],[Avg_Monthly]])</f>
        <v>0.2309401076758503</v>
      </c>
      <c r="M35" t="str">
        <f>IF(Tabelle8[[#This Row],[CoV]]&lt;=25%,"X",IF(Tabelle8[[#This Row],[CoV]]&lt;=50%,"Y","Z"))</f>
        <v>X</v>
      </c>
      <c r="N35" t="str">
        <f>Tabelle8[[#This Row],[ABC]]&amp;Tabelle8[[#This Row],[XYZ]]</f>
        <v>AX</v>
      </c>
    </row>
    <row r="36" spans="1:14" x14ac:dyDescent="0.2">
      <c r="A36" t="s">
        <v>138</v>
      </c>
      <c r="B36" t="s">
        <v>139</v>
      </c>
      <c r="C36" t="str">
        <f>_xlfn.XLOOKUP(Tabelle8[[#This Row],[Product_Name]],Tabelle2[Product_Name],Tabelle2[Category],"-",0)</f>
        <v>Accessories</v>
      </c>
      <c r="D36">
        <f>_xlfn.XLOOKUP(Tabelle8[[#This Row],[SKU_ID]],Table_Order_History[SKU_ID],Table_Order_History[Total_2024],"-",0)</f>
        <v>176</v>
      </c>
      <c r="E36">
        <f>_xlfn.XLOOKUP(Tabelle8[[#This Row],[SKU_ID]],Tabelle2[SKU_ID],Tabelle2[Unit_Selling_Price_€],"-",0)</f>
        <v>29</v>
      </c>
      <c r="F36" s="4">
        <f>_xlfn.XLOOKUP(Tabelle8[[#This Row],[SKU_ID]],Table_Order_History[SKU_ID],Table_Order_History[Total_Annual_Revenue],"-",0)</f>
        <v>5104</v>
      </c>
      <c r="G36">
        <f>RANK(F36,$F$2:$F$39,0)</f>
        <v>35</v>
      </c>
      <c r="H36" s="13" cm="1">
        <f t="array" ref="H36">SUMPRODUCT((Tabelle8[[#This Row],['#]]&gt;=Tabelle8['#])*Tabelle8[Annual_Revenue])/SUM(Tabelle8[Annual_Revenue])</f>
        <v>0.970460981749528</v>
      </c>
      <c r="I36" t="str">
        <f>IF(H36&lt;=80%,"A",IF(H36&lt;=95%,"B","C"))</f>
        <v>C</v>
      </c>
      <c r="J36" s="16">
        <f>AVERAGE(_xlfn.XLOOKUP(Tabelle8[[#This Row],[SKU_ID]],Table_Order_History[SKU_ID],Table_Order_History[[Jan-24]:[Dec-24]],"-",0))</f>
        <v>14.666666666666666</v>
      </c>
      <c r="K36" s="15">
        <f>STDEV(_xlfn.XLOOKUP(Tabelle8[[#This Row],[SKU_ID]],Table_Order_History[SKU_ID],Table_Order_History[[Jan-24]:[Dec-24]],"-",0))</f>
        <v>2.7413776673693651</v>
      </c>
      <c r="L36" s="13">
        <f>(Tabelle8[[#This Row],[StdDev_Monthly]]/Tabelle8[[#This Row],[Avg_Monthly]])</f>
        <v>0.18691211368427491</v>
      </c>
      <c r="M36" t="str">
        <f>IF(Tabelle8[[#This Row],[CoV]]&lt;=25%,"X",IF(Tabelle8[[#This Row],[CoV]]&lt;=50%,"Y","Z"))</f>
        <v>X</v>
      </c>
      <c r="N36" t="str">
        <f>Tabelle8[[#This Row],[ABC]]&amp;Tabelle8[[#This Row],[XYZ]]</f>
        <v>CX</v>
      </c>
    </row>
    <row r="37" spans="1:14" x14ac:dyDescent="0.2">
      <c r="A37" t="s">
        <v>141</v>
      </c>
      <c r="B37" t="s">
        <v>142</v>
      </c>
      <c r="C37" t="str">
        <f>_xlfn.XLOOKUP(Tabelle8[[#This Row],[Product_Name]],Tabelle2[Product_Name],Tabelle2[Category],"-",0)</f>
        <v>Accessories</v>
      </c>
      <c r="D37">
        <f>_xlfn.XLOOKUP(Tabelle8[[#This Row],[SKU_ID]],Table_Order_History[SKU_ID],Table_Order_History[Total_2024],"-",0)</f>
        <v>122</v>
      </c>
      <c r="E37">
        <f>_xlfn.XLOOKUP(Tabelle8[[#This Row],[SKU_ID]],Tabelle2[SKU_ID],Tabelle2[Unit_Selling_Price_€],"-",0)</f>
        <v>36</v>
      </c>
      <c r="F37" s="4">
        <f>_xlfn.XLOOKUP(Tabelle8[[#This Row],[SKU_ID]],Table_Order_History[SKU_ID],Table_Order_History[Total_Annual_Revenue],"-",0)</f>
        <v>4392</v>
      </c>
      <c r="G37">
        <f>RANK(F37,$F$2:$F$39,0)</f>
        <v>36</v>
      </c>
      <c r="H37" s="13" cm="1">
        <f t="array" ref="H37">SUMPRODUCT((Tabelle8[[#This Row],['#]]&gt;=Tabelle8['#])*Tabelle8[Annual_Revenue])/SUM(Tabelle8[Annual_Revenue])</f>
        <v>0.98125786658275649</v>
      </c>
      <c r="I37" t="str">
        <f>IF(H37&lt;=80%,"A",IF(H37&lt;=95%,"B","C"))</f>
        <v>C</v>
      </c>
      <c r="J37" s="16">
        <f>AVERAGE(_xlfn.XLOOKUP(Tabelle8[[#This Row],[SKU_ID]],Table_Order_History[SKU_ID],Table_Order_History[[Jan-24]:[Dec-24]],"-",0))</f>
        <v>10.166666666666666</v>
      </c>
      <c r="K37" s="15">
        <f>STDEV(_xlfn.XLOOKUP(Tabelle8[[#This Row],[SKU_ID]],Table_Order_History[SKU_ID],Table_Order_History[[Jan-24]:[Dec-24]],"-",0))</f>
        <v>3.0698929011029734</v>
      </c>
      <c r="L37" s="13">
        <f>(Tabelle8[[#This Row],[StdDev_Monthly]]/Tabelle8[[#This Row],[Avg_Monthly]])</f>
        <v>0.30195667879701382</v>
      </c>
      <c r="M37" t="str">
        <f>IF(Tabelle8[[#This Row],[CoV]]&lt;=25%,"X",IF(Tabelle8[[#This Row],[CoV]]&lt;=50%,"Y","Z"))</f>
        <v>Y</v>
      </c>
      <c r="N37" t="str">
        <f>Tabelle8[[#This Row],[ABC]]&amp;Tabelle8[[#This Row],[XYZ]]</f>
        <v>CY</v>
      </c>
    </row>
    <row r="38" spans="1:14" x14ac:dyDescent="0.2">
      <c r="A38" t="s">
        <v>144</v>
      </c>
      <c r="B38" t="s">
        <v>145</v>
      </c>
      <c r="C38" t="str">
        <f>_xlfn.XLOOKUP(Tabelle8[[#This Row],[Product_Name]],Tabelle2[Product_Name],Tabelle2[Category],"-",0)</f>
        <v>Brakes</v>
      </c>
      <c r="D38">
        <f>_xlfn.XLOOKUP(Tabelle8[[#This Row],[SKU_ID]],Table_Order_History[SKU_ID],Table_Order_History[Total_2024],"-",0)</f>
        <v>101</v>
      </c>
      <c r="E38">
        <f>_xlfn.XLOOKUP(Tabelle8[[#This Row],[SKU_ID]],Tabelle2[SKU_ID],Tabelle2[Unit_Selling_Price_€],"-",0)</f>
        <v>72</v>
      </c>
      <c r="F38" s="4">
        <f>_xlfn.XLOOKUP(Tabelle8[[#This Row],[SKU_ID]],Table_Order_History[SKU_ID],Table_Order_History[Total_Annual_Revenue],"-",0)</f>
        <v>7272</v>
      </c>
      <c r="G38">
        <f>RANK(F38,$F$2:$F$39,0)</f>
        <v>26</v>
      </c>
      <c r="H38" s="13" cm="1">
        <f t="array" ref="H38">SUMPRODUCT((Tabelle8[[#This Row],['#]]&gt;=Tabelle8['#])*Tabelle8[Annual_Revenue])/SUM(Tabelle8[Annual_Revenue])</f>
        <v>0.82896574103209564</v>
      </c>
      <c r="I38" t="str">
        <f>IF(H38&lt;=80%,"A",IF(H38&lt;=95%,"B","C"))</f>
        <v>B</v>
      </c>
      <c r="J38" s="16">
        <f>AVERAGE(_xlfn.XLOOKUP(Tabelle8[[#This Row],[SKU_ID]],Table_Order_History[SKU_ID],Table_Order_History[[Jan-24]:[Dec-24]],"-",0))</f>
        <v>8.4166666666666661</v>
      </c>
      <c r="K38" s="15">
        <f>STDEV(_xlfn.XLOOKUP(Tabelle8[[#This Row],[SKU_ID]],Table_Order_History[SKU_ID],Table_Order_History[[Jan-24]:[Dec-24]],"-",0))</f>
        <v>4.0330077504452566</v>
      </c>
      <c r="L38" s="13">
        <f>(Tabelle8[[#This Row],[StdDev_Monthly]]/Tabelle8[[#This Row],[Avg_Monthly]])</f>
        <v>0.47916923767666419</v>
      </c>
      <c r="M38" t="str">
        <f>IF(Tabelle8[[#This Row],[CoV]]&lt;=25%,"X",IF(Tabelle8[[#This Row],[CoV]]&lt;=50%,"Y","Z"))</f>
        <v>Y</v>
      </c>
      <c r="N38" t="str">
        <f>Tabelle8[[#This Row],[ABC]]&amp;Tabelle8[[#This Row],[XYZ]]</f>
        <v>BY</v>
      </c>
    </row>
    <row r="39" spans="1:14" x14ac:dyDescent="0.2">
      <c r="A39" t="s">
        <v>146</v>
      </c>
      <c r="B39" t="s">
        <v>147</v>
      </c>
      <c r="C39" t="str">
        <f>_xlfn.XLOOKUP(Tabelle8[[#This Row],[Product_Name]],Tabelle2[Product_Name],Tabelle2[Category],"-",0)</f>
        <v>Accessories</v>
      </c>
      <c r="D39">
        <f>_xlfn.XLOOKUP(Tabelle8[[#This Row],[SKU_ID]],Table_Order_History[SKU_ID],Table_Order_History[Total_2024],"-",0)</f>
        <v>144</v>
      </c>
      <c r="E39">
        <f>_xlfn.XLOOKUP(Tabelle8[[#This Row],[SKU_ID]],Tabelle2[SKU_ID],Tabelle2[Unit_Selling_Price_€],"-",0)</f>
        <v>56</v>
      </c>
      <c r="F39" s="4">
        <f>_xlfn.XLOOKUP(Tabelle8[[#This Row],[SKU_ID]],Table_Order_History[SKU_ID],Table_Order_History[Total_Annual_Revenue],"-",0)</f>
        <v>8064</v>
      </c>
      <c r="G39">
        <f>RANK(F39,$F$2:$F$39,0)</f>
        <v>24</v>
      </c>
      <c r="H39" s="13" cm="1">
        <f t="array" ref="H39">SUMPRODUCT((Tabelle8[[#This Row],['#]]&gt;=Tabelle8['#])*Tabelle8[Annual_Revenue])/SUM(Tabelle8[Annual_Revenue])</f>
        <v>0.79191659455632468</v>
      </c>
      <c r="I39" t="str">
        <f>IF(H39&lt;=80%,"A",IF(H39&lt;=95%,"B","C"))</f>
        <v>A</v>
      </c>
      <c r="J39" s="16">
        <f>AVERAGE(_xlfn.XLOOKUP(Tabelle8[[#This Row],[SKU_ID]],Table_Order_History[SKU_ID],Table_Order_History[[Jan-24]:[Dec-24]],"-",0))</f>
        <v>12</v>
      </c>
      <c r="K39" s="15">
        <f>STDEV(_xlfn.XLOOKUP(Tabelle8[[#This Row],[SKU_ID]],Table_Order_History[SKU_ID],Table_Order_History[[Jan-24]:[Dec-24]],"-",0))</f>
        <v>2.5936986577612919</v>
      </c>
      <c r="L39" s="13">
        <f>(Tabelle8[[#This Row],[StdDev_Monthly]]/Tabelle8[[#This Row],[Avg_Monthly]])</f>
        <v>0.21614155481344099</v>
      </c>
      <c r="M39" t="str">
        <f>IF(Tabelle8[[#This Row],[CoV]]&lt;=25%,"X",IF(Tabelle8[[#This Row],[CoV]]&lt;=50%,"Y","Z"))</f>
        <v>X</v>
      </c>
      <c r="N39" t="str">
        <f>Tabelle8[[#This Row],[ABC]]&amp;Tabelle8[[#This Row],[XYZ]]</f>
        <v>AX</v>
      </c>
    </row>
    <row r="41" spans="1:14" x14ac:dyDescent="0.2">
      <c r="A41" s="17" t="s">
        <v>507</v>
      </c>
    </row>
    <row r="42" spans="1:14" x14ac:dyDescent="0.2">
      <c r="A42" s="17" t="s">
        <v>508</v>
      </c>
      <c r="B42" s="14" t="s">
        <v>509</v>
      </c>
    </row>
    <row r="43" spans="1:14" x14ac:dyDescent="0.2">
      <c r="A43" s="17" t="s">
        <v>510</v>
      </c>
      <c r="B43" s="14" t="s">
        <v>511</v>
      </c>
    </row>
    <row r="44" spans="1:14" x14ac:dyDescent="0.2">
      <c r="A44" s="17" t="s">
        <v>504</v>
      </c>
      <c r="B44" s="14" t="s">
        <v>517</v>
      </c>
    </row>
  </sheetData>
  <conditionalFormatting sqref="N2:N39">
    <cfRule type="containsText" dxfId="17" priority="1" operator="containsText" text="BX">
      <formula>NOT(ISERROR(SEARCH("BX",N2)))</formula>
    </cfRule>
    <cfRule type="containsText" dxfId="16" priority="2" operator="containsText" text="CX">
      <formula>NOT(ISERROR(SEARCH("CX",N2)))</formula>
    </cfRule>
    <cfRule type="containsText" dxfId="15" priority="3" operator="containsText" text="BZ">
      <formula>NOT(ISERROR(SEARCH("BZ",N2)))</formula>
    </cfRule>
    <cfRule type="containsText" dxfId="14" priority="4" operator="containsText" text="CZ">
      <formula>NOT(ISERROR(SEARCH("CZ",N2)))</formula>
    </cfRule>
    <cfRule type="containsText" dxfId="13" priority="5" operator="containsText" text="CY">
      <formula>NOT(ISERROR(SEARCH("CY",N2)))</formula>
    </cfRule>
    <cfRule type="containsText" dxfId="12" priority="6" operator="containsText" text="BY">
      <formula>NOT(ISERROR(SEARCH("BY",N2)))</formula>
    </cfRule>
    <cfRule type="containsText" dxfId="11" priority="7" operator="containsText" text="AZ">
      <formula>NOT(ISERROR(SEARCH("AZ",N2)))</formula>
    </cfRule>
    <cfRule type="containsText" dxfId="10" priority="8" operator="containsText" text="AY">
      <formula>NOT(ISERROR(SEARCH("AY",N2)))</formula>
    </cfRule>
    <cfRule type="containsText" dxfId="9" priority="9" operator="containsText" text="AX">
      <formula>NOT(ISERROR(SEARCH("AX",N2)))</formula>
    </cfRule>
  </conditionalFormatting>
  <pageMargins left="0.7" right="0.7" top="0.78740157499999996" bottom="0.78740157499999996" header="0.3" footer="0.3"/>
  <pageSetup paperSize="9" orientation="portrait" horizontalDpi="0" verticalDpi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0"/>
  <sheetViews>
    <sheetView zoomScale="90" zoomScaleNormal="90" workbookViewId="0">
      <selection activeCell="I19" sqref="I19"/>
    </sheetView>
  </sheetViews>
  <sheetFormatPr baseColWidth="10" defaultColWidth="8.6640625" defaultRowHeight="15" x14ac:dyDescent="0.2"/>
  <cols>
    <col min="1" max="1" width="13.5" bestFit="1" customWidth="1"/>
    <col min="2" max="2" width="24" customWidth="1"/>
    <col min="3" max="3" width="18" bestFit="1" customWidth="1"/>
    <col min="4" max="4" width="22" customWidth="1"/>
    <col min="5" max="5" width="20.6640625" bestFit="1" customWidth="1"/>
    <col min="6" max="6" width="26.1640625" bestFit="1" customWidth="1"/>
    <col min="7" max="7" width="27.33203125" bestFit="1" customWidth="1"/>
    <col min="8" max="8" width="26" bestFit="1" customWidth="1"/>
    <col min="9" max="9" width="24" bestFit="1" customWidth="1"/>
    <col min="10" max="10" width="19.6640625" bestFit="1" customWidth="1"/>
    <col min="11" max="11" width="19.1640625" bestFit="1" customWidth="1"/>
    <col min="12" max="12" width="17.33203125" bestFit="1" customWidth="1"/>
    <col min="13" max="13" width="20.6640625" bestFit="1" customWidth="1"/>
    <col min="14" max="14" width="17.33203125" bestFit="1" customWidth="1"/>
    <col min="15" max="15" width="52" customWidth="1"/>
  </cols>
  <sheetData>
    <row r="1" spans="1:15" ht="15" customHeight="1" x14ac:dyDescent="0.2">
      <c r="A1" s="1" t="s">
        <v>369</v>
      </c>
      <c r="B1" s="1" t="s">
        <v>370</v>
      </c>
      <c r="C1" s="1" t="s">
        <v>155</v>
      </c>
      <c r="D1" s="1" t="s">
        <v>371</v>
      </c>
      <c r="E1" s="1" t="s">
        <v>372</v>
      </c>
      <c r="F1" s="10" t="s">
        <v>373</v>
      </c>
      <c r="G1" s="10" t="s">
        <v>650</v>
      </c>
      <c r="H1" s="1" t="s">
        <v>374</v>
      </c>
      <c r="I1" s="1" t="s">
        <v>375</v>
      </c>
      <c r="J1" s="1" t="s">
        <v>376</v>
      </c>
      <c r="K1" s="1" t="s">
        <v>377</v>
      </c>
      <c r="L1" s="1" t="s">
        <v>378</v>
      </c>
      <c r="M1" s="1" t="s">
        <v>379</v>
      </c>
      <c r="N1" s="1" t="s">
        <v>380</v>
      </c>
      <c r="O1" s="1" t="s">
        <v>381</v>
      </c>
    </row>
    <row r="2" spans="1:15" ht="15" customHeight="1" x14ac:dyDescent="0.2">
      <c r="A2" s="3" t="s">
        <v>382</v>
      </c>
      <c r="B2" s="3" t="s">
        <v>383</v>
      </c>
      <c r="C2" s="3" t="s">
        <v>163</v>
      </c>
      <c r="D2" s="3" t="s">
        <v>384</v>
      </c>
      <c r="E2" s="3">
        <v>9</v>
      </c>
      <c r="F2" s="3">
        <v>62</v>
      </c>
      <c r="G2" s="3">
        <f>Tabelle5[[#This Row],[Estimated_Distance_km]]*2</f>
        <v>124</v>
      </c>
      <c r="H2" s="3">
        <v>5.6</v>
      </c>
      <c r="I2" s="3">
        <v>3</v>
      </c>
      <c r="J2" s="4">
        <f>Tabelle5[[#This Row],[Estimated_Distance_km2]]*Tabelle5[[#This Row],[Cost_per_km_€]]</f>
        <v>296.36</v>
      </c>
      <c r="K2" s="4">
        <v>2.39</v>
      </c>
      <c r="L2" s="3" t="s">
        <v>385</v>
      </c>
      <c r="M2" s="3">
        <v>800</v>
      </c>
      <c r="N2" s="3">
        <v>510</v>
      </c>
      <c r="O2" s="3" t="s">
        <v>386</v>
      </c>
    </row>
    <row r="3" spans="1:15" ht="15" customHeight="1" x14ac:dyDescent="0.2">
      <c r="A3" s="3" t="s">
        <v>387</v>
      </c>
      <c r="B3" s="3" t="s">
        <v>388</v>
      </c>
      <c r="C3" s="3" t="s">
        <v>163</v>
      </c>
      <c r="D3" s="3" t="s">
        <v>384</v>
      </c>
      <c r="E3" s="3">
        <v>8</v>
      </c>
      <c r="F3" s="3">
        <v>98</v>
      </c>
      <c r="G3" s="3">
        <f>Tabelle5[[#This Row],[Estimated_Distance_km]]*2</f>
        <v>196</v>
      </c>
      <c r="H3" s="3">
        <v>7</v>
      </c>
      <c r="I3" s="3">
        <v>3</v>
      </c>
      <c r="J3" s="4">
        <f>Tabelle5[[#This Row],[Estimated_Distance_km2]]*Tabelle5[[#This Row],[Cost_per_km_€]]</f>
        <v>356.72</v>
      </c>
      <c r="K3" s="4">
        <v>1.82</v>
      </c>
      <c r="L3" s="3" t="s">
        <v>385</v>
      </c>
      <c r="M3" s="3">
        <v>800</v>
      </c>
      <c r="N3" s="3">
        <v>420</v>
      </c>
      <c r="O3" s="3" t="s">
        <v>389</v>
      </c>
    </row>
    <row r="4" spans="1:15" ht="15" customHeight="1" x14ac:dyDescent="0.2">
      <c r="A4" s="3" t="s">
        <v>390</v>
      </c>
      <c r="B4" s="3" t="s">
        <v>391</v>
      </c>
      <c r="C4" s="3" t="s">
        <v>225</v>
      </c>
      <c r="D4" s="3" t="s">
        <v>384</v>
      </c>
      <c r="E4" s="3">
        <v>10</v>
      </c>
      <c r="F4" s="3">
        <v>314</v>
      </c>
      <c r="G4" s="3">
        <f>Tabelle5[[#This Row],[Estimated_Distance_km]]*2</f>
        <v>628</v>
      </c>
      <c r="H4" s="3">
        <v>13</v>
      </c>
      <c r="I4" s="3">
        <v>1</v>
      </c>
      <c r="J4" s="4">
        <f>Tabelle5[[#This Row],[Estimated_Distance_km2]]*Tabelle5[[#This Row],[Cost_per_km_€]]</f>
        <v>785</v>
      </c>
      <c r="K4" s="4">
        <v>1.25</v>
      </c>
      <c r="L4" s="18" t="s">
        <v>513</v>
      </c>
      <c r="M4" s="3">
        <v>800</v>
      </c>
      <c r="N4" s="3">
        <v>590</v>
      </c>
      <c r="O4" s="3" t="s">
        <v>392</v>
      </c>
    </row>
    <row r="5" spans="1:15" ht="15" customHeight="1" x14ac:dyDescent="0.2">
      <c r="A5" s="3" t="s">
        <v>393</v>
      </c>
      <c r="B5" s="3" t="s">
        <v>394</v>
      </c>
      <c r="C5" s="3" t="s">
        <v>263</v>
      </c>
      <c r="D5" s="3" t="s">
        <v>384</v>
      </c>
      <c r="E5" s="3">
        <v>9</v>
      </c>
      <c r="F5" s="3">
        <v>220</v>
      </c>
      <c r="G5" s="3">
        <f>Tabelle5[[#This Row],[Estimated_Distance_km]]*2</f>
        <v>440</v>
      </c>
      <c r="H5" s="3">
        <v>9.6</v>
      </c>
      <c r="I5" s="3">
        <v>1</v>
      </c>
      <c r="J5" s="4">
        <f>Tabelle5[[#This Row],[Estimated_Distance_km2]]*Tabelle5[[#This Row],[Cost_per_km_€]]</f>
        <v>550</v>
      </c>
      <c r="K5" s="4">
        <v>1.25</v>
      </c>
      <c r="L5" s="18" t="s">
        <v>513</v>
      </c>
      <c r="M5" s="3">
        <v>800</v>
      </c>
      <c r="N5" s="3">
        <v>480</v>
      </c>
      <c r="O5" s="3" t="s">
        <v>395</v>
      </c>
    </row>
    <row r="6" spans="1:15" ht="15" customHeight="1" x14ac:dyDescent="0.2">
      <c r="A6" s="3" t="s">
        <v>396</v>
      </c>
      <c r="B6" s="3" t="s">
        <v>397</v>
      </c>
      <c r="C6" s="3" t="s">
        <v>296</v>
      </c>
      <c r="D6" s="3" t="s">
        <v>384</v>
      </c>
      <c r="E6" s="3">
        <v>9</v>
      </c>
      <c r="F6" s="3">
        <v>410</v>
      </c>
      <c r="G6" s="3">
        <f>Tabelle5[[#This Row],[Estimated_Distance_km]]*2</f>
        <v>820</v>
      </c>
      <c r="H6" s="3">
        <v>14.4</v>
      </c>
      <c r="I6" s="3">
        <v>1</v>
      </c>
      <c r="J6" s="4">
        <f>Tabelle5[[#This Row],[Estimated_Distance_km2]]*Tabelle5[[#This Row],[Cost_per_km_€]]</f>
        <v>1025</v>
      </c>
      <c r="K6" s="4">
        <v>1.25</v>
      </c>
      <c r="L6" s="18" t="s">
        <v>513</v>
      </c>
      <c r="M6" s="3">
        <v>800</v>
      </c>
      <c r="N6" s="3">
        <v>605</v>
      </c>
      <c r="O6" s="3" t="s">
        <v>398</v>
      </c>
    </row>
    <row r="7" spans="1:15" ht="15" customHeight="1" x14ac:dyDescent="0.2">
      <c r="A7" s="3" t="s">
        <v>399</v>
      </c>
      <c r="B7" s="3" t="s">
        <v>400</v>
      </c>
      <c r="C7" s="3" t="s">
        <v>330</v>
      </c>
      <c r="D7" s="3" t="s">
        <v>384</v>
      </c>
      <c r="E7" s="3">
        <v>8</v>
      </c>
      <c r="F7" s="3">
        <v>148</v>
      </c>
      <c r="G7" s="3">
        <f>Tabelle5[[#This Row],[Estimated_Distance_km]]*2</f>
        <v>296</v>
      </c>
      <c r="H7" s="3">
        <v>6.4</v>
      </c>
      <c r="I7" s="3">
        <v>2</v>
      </c>
      <c r="J7" s="4">
        <f>Tabelle5[[#This Row],[Estimated_Distance_km2]]*Tabelle5[[#This Row],[Cost_per_km_€]]</f>
        <v>370</v>
      </c>
      <c r="K7" s="4">
        <v>1.25</v>
      </c>
      <c r="L7" s="18" t="s">
        <v>513</v>
      </c>
      <c r="M7" s="3">
        <v>800</v>
      </c>
      <c r="N7" s="3">
        <v>395</v>
      </c>
      <c r="O7" s="3" t="s">
        <v>401</v>
      </c>
    </row>
    <row r="8" spans="1:15" ht="15" customHeight="1" x14ac:dyDescent="0.2">
      <c r="A8" s="3" t="s">
        <v>402</v>
      </c>
      <c r="B8" s="3" t="s">
        <v>403</v>
      </c>
      <c r="C8" s="3" t="s">
        <v>163</v>
      </c>
      <c r="D8" s="3" t="s">
        <v>384</v>
      </c>
      <c r="E8" s="3">
        <v>1</v>
      </c>
      <c r="F8" s="3">
        <v>0</v>
      </c>
      <c r="G8" s="3">
        <f>Tabelle5[[#This Row],[Estimated_Distance_km]]*2</f>
        <v>0</v>
      </c>
      <c r="H8" s="3">
        <v>1</v>
      </c>
      <c r="I8" s="3">
        <v>0</v>
      </c>
      <c r="J8" s="4">
        <f>Tabelle5[[#This Row],[Estimated_Distance_km2]]*Tabelle5[[#This Row],[Cost_per_km_€]]</f>
        <v>0</v>
      </c>
      <c r="K8" s="4">
        <v>0</v>
      </c>
      <c r="L8" s="18" t="s">
        <v>404</v>
      </c>
      <c r="M8" s="3">
        <v>100</v>
      </c>
      <c r="N8" s="3">
        <v>35</v>
      </c>
      <c r="O8" s="3" t="s">
        <v>405</v>
      </c>
    </row>
    <row r="9" spans="1:15" ht="15" customHeight="1" x14ac:dyDescent="0.2">
      <c r="A9" s="3" t="s">
        <v>406</v>
      </c>
      <c r="B9" s="3" t="s">
        <v>407</v>
      </c>
      <c r="C9" s="3" t="s">
        <v>408</v>
      </c>
      <c r="D9" s="3" t="s">
        <v>384</v>
      </c>
      <c r="E9" s="3">
        <v>1</v>
      </c>
      <c r="F9" s="3">
        <v>0</v>
      </c>
      <c r="G9" s="3">
        <f>Tabelle5[[#This Row],[Estimated_Distance_km]]*2</f>
        <v>0</v>
      </c>
      <c r="H9" s="3">
        <v>0</v>
      </c>
      <c r="I9" s="3">
        <v>0</v>
      </c>
      <c r="J9" s="4">
        <f>Tabelle5[[#This Row],[Estimated_Distance_km2]]*Tabelle5[[#This Row],[Cost_per_km_€]]</f>
        <v>0</v>
      </c>
      <c r="K9" s="4">
        <v>0</v>
      </c>
      <c r="L9" s="3" t="s">
        <v>409</v>
      </c>
      <c r="M9" s="3">
        <v>0</v>
      </c>
      <c r="N9" s="3">
        <v>0</v>
      </c>
      <c r="O9" s="18" t="s">
        <v>554</v>
      </c>
    </row>
    <row r="10" spans="1:15" ht="160" x14ac:dyDescent="0.2">
      <c r="A10" s="8"/>
      <c r="B10" s="8"/>
      <c r="C10" s="8"/>
      <c r="D10" s="8"/>
      <c r="E10" s="57" t="s">
        <v>648</v>
      </c>
      <c r="F10" s="59" t="s">
        <v>649</v>
      </c>
      <c r="G10" s="59" t="s">
        <v>651</v>
      </c>
      <c r="H10" s="8"/>
      <c r="I10" s="8"/>
      <c r="J10" s="58" t="s">
        <v>515</v>
      </c>
      <c r="K10" s="4"/>
      <c r="L10" s="8"/>
      <c r="M10" s="8"/>
      <c r="N10" s="8"/>
      <c r="O10" s="8"/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3"/>
  <sheetViews>
    <sheetView zoomScaleNormal="100" workbookViewId="0">
      <selection activeCell="E26" sqref="E26"/>
    </sheetView>
  </sheetViews>
  <sheetFormatPr baseColWidth="10" defaultColWidth="8.6640625" defaultRowHeight="15" x14ac:dyDescent="0.2"/>
  <cols>
    <col min="1" max="1" width="16" customWidth="1"/>
    <col min="2" max="2" width="45" customWidth="1"/>
    <col min="3" max="3" width="14" customWidth="1"/>
    <col min="4" max="4" width="22" customWidth="1"/>
    <col min="5" max="5" width="18" customWidth="1"/>
    <col min="6" max="6" width="16" customWidth="1"/>
    <col min="7" max="7" width="65" customWidth="1"/>
  </cols>
  <sheetData>
    <row r="1" spans="1:7" ht="15" customHeight="1" x14ac:dyDescent="0.2">
      <c r="A1" s="1" t="s">
        <v>432</v>
      </c>
      <c r="B1" s="1" t="s">
        <v>433</v>
      </c>
      <c r="C1" s="1" t="s">
        <v>434</v>
      </c>
      <c r="D1" s="1" t="s">
        <v>435</v>
      </c>
      <c r="E1" s="1" t="s">
        <v>436</v>
      </c>
      <c r="F1" s="1" t="s">
        <v>437</v>
      </c>
      <c r="G1" s="1" t="s">
        <v>381</v>
      </c>
    </row>
    <row r="2" spans="1:7" ht="15" customHeight="1" x14ac:dyDescent="0.2">
      <c r="A2" s="3" t="s">
        <v>438</v>
      </c>
      <c r="B2" s="3" t="s">
        <v>439</v>
      </c>
      <c r="C2" s="4">
        <v>125</v>
      </c>
      <c r="D2" s="3" t="s">
        <v>440</v>
      </c>
      <c r="E2" s="3" t="s">
        <v>441</v>
      </c>
      <c r="F2" s="4">
        <v>3000</v>
      </c>
      <c r="G2" s="3" t="s">
        <v>442</v>
      </c>
    </row>
    <row r="3" spans="1:7" ht="15" customHeight="1" x14ac:dyDescent="0.2">
      <c r="A3" s="3" t="s">
        <v>438</v>
      </c>
      <c r="B3" s="3" t="s">
        <v>443</v>
      </c>
      <c r="C3" s="4">
        <v>98</v>
      </c>
      <c r="D3" s="3" t="s">
        <v>440</v>
      </c>
      <c r="E3" s="3" t="s">
        <v>444</v>
      </c>
      <c r="F3" s="4">
        <v>1176</v>
      </c>
      <c r="G3" s="3" t="s">
        <v>445</v>
      </c>
    </row>
    <row r="4" spans="1:7" ht="15" customHeight="1" x14ac:dyDescent="0.2">
      <c r="A4" s="3" t="s">
        <v>438</v>
      </c>
      <c r="B4" s="3" t="s">
        <v>446</v>
      </c>
      <c r="C4" s="4">
        <v>0</v>
      </c>
      <c r="D4" s="3" t="s">
        <v>440</v>
      </c>
      <c r="E4" s="3" t="s">
        <v>447</v>
      </c>
      <c r="F4" s="4">
        <v>0</v>
      </c>
      <c r="G4" s="3" t="s">
        <v>448</v>
      </c>
    </row>
    <row r="5" spans="1:7" ht="15" customHeight="1" x14ac:dyDescent="0.2">
      <c r="A5" s="3" t="s">
        <v>438</v>
      </c>
      <c r="B5" s="3" t="s">
        <v>449</v>
      </c>
      <c r="C5" s="4">
        <v>55</v>
      </c>
      <c r="D5" s="3" t="s">
        <v>440</v>
      </c>
      <c r="E5" s="3" t="s">
        <v>444</v>
      </c>
      <c r="F5" s="4">
        <v>660</v>
      </c>
      <c r="G5" s="3" t="s">
        <v>450</v>
      </c>
    </row>
    <row r="6" spans="1:7" ht="15" customHeight="1" x14ac:dyDescent="0.2">
      <c r="A6" s="3" t="s">
        <v>438</v>
      </c>
      <c r="B6" s="3" t="s">
        <v>451</v>
      </c>
      <c r="C6" s="4">
        <v>0</v>
      </c>
      <c r="D6" s="3" t="s">
        <v>452</v>
      </c>
      <c r="E6" s="3" t="s">
        <v>453</v>
      </c>
      <c r="F6" s="4">
        <v>0</v>
      </c>
      <c r="G6" s="3" t="s">
        <v>454</v>
      </c>
    </row>
    <row r="7" spans="1:7" ht="15" customHeight="1" x14ac:dyDescent="0.2">
      <c r="A7" s="3" t="s">
        <v>455</v>
      </c>
      <c r="B7" s="3" t="s">
        <v>456</v>
      </c>
      <c r="C7" s="4">
        <v>1.25</v>
      </c>
      <c r="D7" s="3" t="s">
        <v>457</v>
      </c>
      <c r="E7" s="3" t="s">
        <v>458</v>
      </c>
      <c r="F7" s="19" t="s">
        <v>459</v>
      </c>
      <c r="G7" s="3" t="s">
        <v>460</v>
      </c>
    </row>
    <row r="8" spans="1:7" ht="15" customHeight="1" x14ac:dyDescent="0.2">
      <c r="A8" s="3" t="s">
        <v>455</v>
      </c>
      <c r="B8" s="3" t="s">
        <v>461</v>
      </c>
      <c r="C8" s="4">
        <v>18</v>
      </c>
      <c r="D8" s="3" t="s">
        <v>458</v>
      </c>
      <c r="E8" s="3" t="s">
        <v>458</v>
      </c>
      <c r="F8" s="4" t="s">
        <v>459</v>
      </c>
      <c r="G8" s="3" t="s">
        <v>462</v>
      </c>
    </row>
    <row r="9" spans="1:7" ht="15" customHeight="1" x14ac:dyDescent="0.2">
      <c r="A9" s="3" t="s">
        <v>455</v>
      </c>
      <c r="B9" s="3" t="s">
        <v>463</v>
      </c>
      <c r="C9" s="4">
        <f>124*2.39</f>
        <v>296.36</v>
      </c>
      <c r="D9" s="3" t="s">
        <v>458</v>
      </c>
      <c r="E9" s="3" t="s">
        <v>464</v>
      </c>
      <c r="F9" s="4">
        <f>Tabelle7[[#This Row],[Value_€]]*156</f>
        <v>46232.160000000003</v>
      </c>
      <c r="G9" s="18" t="s">
        <v>548</v>
      </c>
    </row>
    <row r="10" spans="1:7" ht="15" customHeight="1" x14ac:dyDescent="0.2">
      <c r="A10" s="3" t="s">
        <v>455</v>
      </c>
      <c r="B10" s="3" t="s">
        <v>465</v>
      </c>
      <c r="C10" s="4">
        <f>(98*2)*1.82</f>
        <v>356.72</v>
      </c>
      <c r="D10" s="3" t="s">
        <v>458</v>
      </c>
      <c r="E10" s="3" t="s">
        <v>464</v>
      </c>
      <c r="F10" s="4">
        <f>Tabelle7[[#This Row],[Value_€]]*156</f>
        <v>55648.320000000007</v>
      </c>
      <c r="G10" s="18" t="s">
        <v>549</v>
      </c>
    </row>
    <row r="11" spans="1:7" ht="15" customHeight="1" x14ac:dyDescent="0.2">
      <c r="A11" s="3" t="s">
        <v>455</v>
      </c>
      <c r="B11" s="3" t="s">
        <v>466</v>
      </c>
      <c r="C11" s="4">
        <f>(314*2)*1.25+18</f>
        <v>803</v>
      </c>
      <c r="D11" s="3" t="s">
        <v>458</v>
      </c>
      <c r="E11" s="3" t="s">
        <v>467</v>
      </c>
      <c r="F11" s="4">
        <f>Tabelle7[[#This Row],[Value_€]]*52</f>
        <v>41756</v>
      </c>
      <c r="G11" s="18" t="s">
        <v>514</v>
      </c>
    </row>
    <row r="12" spans="1:7" ht="15" customHeight="1" x14ac:dyDescent="0.2">
      <c r="A12" s="3" t="s">
        <v>455</v>
      </c>
      <c r="B12" s="3" t="s">
        <v>468</v>
      </c>
      <c r="C12" s="4">
        <f>(220*2)*1.25+18</f>
        <v>568</v>
      </c>
      <c r="D12" s="3" t="s">
        <v>458</v>
      </c>
      <c r="E12" s="3" t="s">
        <v>467</v>
      </c>
      <c r="F12" s="4">
        <f>Tabelle7[[#This Row],[Value_€]]*52</f>
        <v>29536</v>
      </c>
      <c r="G12" s="18" t="s">
        <v>550</v>
      </c>
    </row>
    <row r="13" spans="1:7" ht="15" customHeight="1" x14ac:dyDescent="0.2">
      <c r="A13" s="3" t="s">
        <v>455</v>
      </c>
      <c r="B13" s="3" t="s">
        <v>469</v>
      </c>
      <c r="C13" s="4">
        <f>(410*2)*1.25+18</f>
        <v>1043</v>
      </c>
      <c r="D13" s="3" t="s">
        <v>458</v>
      </c>
      <c r="E13" s="3" t="s">
        <v>467</v>
      </c>
      <c r="F13" s="4">
        <f>Tabelle7[[#This Row],[Value_€]]*52</f>
        <v>54236</v>
      </c>
      <c r="G13" s="3" t="s">
        <v>470</v>
      </c>
    </row>
    <row r="14" spans="1:7" ht="15" customHeight="1" x14ac:dyDescent="0.2">
      <c r="A14" s="3" t="s">
        <v>455</v>
      </c>
      <c r="B14" s="3" t="s">
        <v>471</v>
      </c>
      <c r="C14" s="19">
        <f>(148*2)*1.25+18*2</f>
        <v>406</v>
      </c>
      <c r="D14" s="3" t="s">
        <v>458</v>
      </c>
      <c r="E14" s="3" t="s">
        <v>472</v>
      </c>
      <c r="F14" s="4">
        <f>Tabelle7[[#This Row],[Value_€]]*104</f>
        <v>42224</v>
      </c>
      <c r="G14" s="3" t="s">
        <v>473</v>
      </c>
    </row>
    <row r="15" spans="1:7" ht="15" customHeight="1" x14ac:dyDescent="0.2">
      <c r="A15" s="3" t="s">
        <v>474</v>
      </c>
      <c r="B15" s="3" t="s">
        <v>475</v>
      </c>
      <c r="C15" s="4">
        <v>85</v>
      </c>
      <c r="D15" s="3" t="s">
        <v>476</v>
      </c>
      <c r="E15" s="3" t="s">
        <v>477</v>
      </c>
      <c r="F15" s="4">
        <v>2550</v>
      </c>
      <c r="G15" s="3" t="s">
        <v>478</v>
      </c>
    </row>
    <row r="16" spans="1:7" ht="15" customHeight="1" x14ac:dyDescent="0.2">
      <c r="A16" s="3" t="s">
        <v>474</v>
      </c>
      <c r="B16" s="3" t="s">
        <v>479</v>
      </c>
      <c r="C16" s="4">
        <v>145</v>
      </c>
      <c r="D16" s="3" t="s">
        <v>480</v>
      </c>
      <c r="E16" s="3" t="s">
        <v>481</v>
      </c>
      <c r="F16" s="4">
        <v>2610</v>
      </c>
      <c r="G16" s="3" t="s">
        <v>482</v>
      </c>
    </row>
    <row r="17" spans="1:7" ht="15" customHeight="1" x14ac:dyDescent="0.2">
      <c r="A17" s="3" t="s">
        <v>483</v>
      </c>
      <c r="B17" s="3" t="s">
        <v>484</v>
      </c>
      <c r="C17" s="4">
        <v>8.5</v>
      </c>
      <c r="D17" s="3" t="s">
        <v>485</v>
      </c>
      <c r="E17" s="3" t="s">
        <v>486</v>
      </c>
      <c r="F17" s="4">
        <v>188700</v>
      </c>
      <c r="G17" s="3" t="s">
        <v>487</v>
      </c>
    </row>
    <row r="18" spans="1:7" ht="15" customHeight="1" x14ac:dyDescent="0.2">
      <c r="A18" s="3" t="s">
        <v>483</v>
      </c>
      <c r="B18" s="3" t="s">
        <v>488</v>
      </c>
      <c r="C18" s="4">
        <v>0.18</v>
      </c>
      <c r="D18" s="3" t="s">
        <v>489</v>
      </c>
      <c r="E18" s="3" t="s">
        <v>490</v>
      </c>
      <c r="F18" s="4" t="s">
        <v>459</v>
      </c>
      <c r="G18" s="3" t="s">
        <v>491</v>
      </c>
    </row>
    <row r="19" spans="1:7" ht="15" customHeight="1" x14ac:dyDescent="0.2">
      <c r="A19" s="3" t="s">
        <v>483</v>
      </c>
      <c r="B19" s="3" t="s">
        <v>492</v>
      </c>
      <c r="C19" s="4">
        <v>22</v>
      </c>
      <c r="D19" s="3" t="s">
        <v>493</v>
      </c>
      <c r="E19" s="3" t="s">
        <v>494</v>
      </c>
      <c r="F19" s="4" t="s">
        <v>459</v>
      </c>
      <c r="G19" s="3" t="s">
        <v>495</v>
      </c>
    </row>
    <row r="21" spans="1:7" x14ac:dyDescent="0.2">
      <c r="A21" s="14" t="s">
        <v>507</v>
      </c>
    </row>
    <row r="22" spans="1:7" x14ac:dyDescent="0.2">
      <c r="A22" s="17" t="s">
        <v>519</v>
      </c>
      <c r="B22" s="14" t="s">
        <v>522</v>
      </c>
    </row>
    <row r="23" spans="1:7" x14ac:dyDescent="0.2">
      <c r="A23" s="17" t="s">
        <v>520</v>
      </c>
      <c r="B23" s="14" t="s">
        <v>521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10C99-7F00-194C-B9A9-0BC785FD3387}">
  <dimension ref="A1:J38"/>
  <sheetViews>
    <sheetView tabSelected="1" topLeftCell="A11" workbookViewId="0">
      <selection activeCell="E44" sqref="E44"/>
    </sheetView>
  </sheetViews>
  <sheetFormatPr baseColWidth="10" defaultRowHeight="14" x14ac:dyDescent="0.15"/>
  <cols>
    <col min="1" max="1" width="4" style="24" customWidth="1"/>
    <col min="2" max="2" width="45.33203125" style="24" bestFit="1" customWidth="1"/>
    <col min="3" max="3" width="18.6640625" style="24" customWidth="1"/>
    <col min="4" max="4" width="11.83203125" style="24" bestFit="1" customWidth="1"/>
    <col min="5" max="5" width="15.5" style="24" customWidth="1"/>
    <col min="6" max="6" width="78" style="24" bestFit="1" customWidth="1"/>
    <col min="7" max="7" width="92.83203125" style="24" customWidth="1"/>
    <col min="8" max="8" width="12" style="24" bestFit="1" customWidth="1"/>
    <col min="9" max="9" width="20.6640625" style="24" bestFit="1" customWidth="1"/>
    <col min="10" max="10" width="19" style="24" bestFit="1" customWidth="1"/>
    <col min="11" max="11" width="16.5" style="24" bestFit="1" customWidth="1"/>
    <col min="12" max="12" width="21.6640625" style="24" bestFit="1" customWidth="1"/>
    <col min="13" max="13" width="23" style="24" bestFit="1" customWidth="1"/>
    <col min="14" max="14" width="16" style="24" bestFit="1" customWidth="1"/>
    <col min="15" max="15" width="16.5" style="24" bestFit="1" customWidth="1"/>
    <col min="16" max="16" width="18.5" style="24" bestFit="1" customWidth="1"/>
    <col min="17" max="16384" width="10.83203125" style="24"/>
  </cols>
  <sheetData>
    <row r="1" spans="1:10" ht="21.75" customHeight="1" x14ac:dyDescent="0.15">
      <c r="A1" s="99" t="s">
        <v>523</v>
      </c>
      <c r="B1" s="99"/>
      <c r="C1" s="99"/>
      <c r="D1" s="99"/>
      <c r="E1" s="99"/>
      <c r="F1" s="99"/>
      <c r="G1" s="99"/>
      <c r="H1" s="25"/>
      <c r="I1" s="25"/>
      <c r="J1" s="25"/>
    </row>
    <row r="2" spans="1:10" ht="21.75" customHeight="1" x14ac:dyDescent="0.15">
      <c r="A2" s="44" t="s">
        <v>499</v>
      </c>
      <c r="B2" s="44" t="s">
        <v>524</v>
      </c>
      <c r="C2" s="44" t="s">
        <v>698</v>
      </c>
      <c r="D2" s="44" t="s">
        <v>435</v>
      </c>
      <c r="E2" s="44" t="s">
        <v>699</v>
      </c>
      <c r="F2" s="44" t="s">
        <v>525</v>
      </c>
      <c r="G2" s="44" t="s">
        <v>571</v>
      </c>
      <c r="H2" s="25"/>
      <c r="I2" s="25"/>
      <c r="J2" s="25"/>
    </row>
    <row r="3" spans="1:10" ht="21.75" customHeight="1" x14ac:dyDescent="0.15">
      <c r="A3" s="98" t="s">
        <v>526</v>
      </c>
      <c r="B3" s="98"/>
      <c r="C3" s="98"/>
      <c r="D3" s="98"/>
      <c r="E3" s="98"/>
      <c r="F3" s="98"/>
      <c r="G3" s="25"/>
      <c r="H3" s="25"/>
      <c r="I3" s="25"/>
      <c r="J3" s="25"/>
    </row>
    <row r="4" spans="1:10" ht="21.75" customHeight="1" x14ac:dyDescent="0.15">
      <c r="A4" s="26">
        <v>1</v>
      </c>
      <c r="B4" s="25" t="s">
        <v>527</v>
      </c>
      <c r="C4" s="27">
        <f>Transport_Costs!F2+Transport_Costs!F3+Transport_Costs!F5</f>
        <v>4836</v>
      </c>
      <c r="D4" s="26" t="s">
        <v>562</v>
      </c>
      <c r="E4" s="27">
        <v>4836</v>
      </c>
      <c r="F4" s="34" t="s">
        <v>551</v>
      </c>
      <c r="G4" s="25"/>
      <c r="H4" s="25"/>
      <c r="I4" s="25"/>
      <c r="J4" s="25"/>
    </row>
    <row r="5" spans="1:10" ht="21.75" customHeight="1" x14ac:dyDescent="0.15">
      <c r="A5" s="26">
        <v>2</v>
      </c>
      <c r="B5" s="25" t="s">
        <v>528</v>
      </c>
      <c r="C5" s="27">
        <f>SUM(Transport_Costs!F9:F14)</f>
        <v>269632.48</v>
      </c>
      <c r="D5" s="26" t="s">
        <v>562</v>
      </c>
      <c r="E5" s="27">
        <f>SUM(Table_Route_Opt[Annual_Cost_€])</f>
        <v>167933.85440000001</v>
      </c>
      <c r="F5" s="34" t="s">
        <v>552</v>
      </c>
      <c r="G5" s="25"/>
      <c r="H5" s="25"/>
      <c r="I5" s="25"/>
      <c r="J5" s="25"/>
    </row>
    <row r="6" spans="1:10" ht="21.75" customHeight="1" x14ac:dyDescent="0.15">
      <c r="A6" s="26">
        <v>3</v>
      </c>
      <c r="B6" s="25" t="s">
        <v>529</v>
      </c>
      <c r="C6" s="27">
        <f>SUM(Transport_Costs!F15:F16)</f>
        <v>5160</v>
      </c>
      <c r="D6" s="26" t="s">
        <v>562</v>
      </c>
      <c r="E6" s="27">
        <v>5160</v>
      </c>
      <c r="F6" s="34" t="s">
        <v>553</v>
      </c>
      <c r="G6" s="25"/>
      <c r="H6" s="25"/>
      <c r="I6" s="25"/>
      <c r="J6" s="25"/>
    </row>
    <row r="7" spans="1:10" ht="21.75" customHeight="1" x14ac:dyDescent="0.15">
      <c r="A7" s="33">
        <v>4</v>
      </c>
      <c r="B7" s="36" t="s">
        <v>538</v>
      </c>
      <c r="C7" s="37">
        <f>SUM(C4:C6)</f>
        <v>279628.48</v>
      </c>
      <c r="D7" s="38" t="s">
        <v>562</v>
      </c>
      <c r="E7" s="121">
        <f>SUM(E4:E6)</f>
        <v>177929.85440000001</v>
      </c>
      <c r="F7" s="35" t="s">
        <v>564</v>
      </c>
      <c r="G7" s="25"/>
      <c r="H7" s="25"/>
      <c r="I7" s="25"/>
      <c r="J7" s="25"/>
    </row>
    <row r="8" spans="1:10" ht="21.75" customHeight="1" x14ac:dyDescent="0.15">
      <c r="A8" s="98" t="s">
        <v>530</v>
      </c>
      <c r="B8" s="98"/>
      <c r="C8" s="98"/>
      <c r="D8" s="98"/>
      <c r="E8" s="98"/>
      <c r="F8" s="98"/>
      <c r="G8" s="25"/>
      <c r="H8" s="25"/>
      <c r="I8" s="25"/>
      <c r="J8" s="25"/>
    </row>
    <row r="9" spans="1:10" ht="21.75" customHeight="1" x14ac:dyDescent="0.15">
      <c r="A9" s="26">
        <v>5</v>
      </c>
      <c r="B9" s="25" t="s">
        <v>531</v>
      </c>
      <c r="C9" s="29">
        <f>AVERAGE(Current_Routes!G2:G7)</f>
        <v>417.33333333333331</v>
      </c>
      <c r="D9" s="26" t="s">
        <v>556</v>
      </c>
      <c r="E9" s="29">
        <f>AVERAGE(Table_Route_Opt[Optimized_Distance_km])</f>
        <v>336.70333333333332</v>
      </c>
      <c r="F9" s="34" t="s">
        <v>559</v>
      </c>
      <c r="G9" s="34"/>
      <c r="H9" s="25"/>
      <c r="I9" s="25"/>
      <c r="J9" s="25"/>
    </row>
    <row r="10" spans="1:10" ht="21.75" customHeight="1" x14ac:dyDescent="0.15">
      <c r="A10" s="26">
        <v>6</v>
      </c>
      <c r="B10" s="25" t="s">
        <v>532</v>
      </c>
      <c r="C10" s="29">
        <f>AVERAGE(Current_Routes!H2:H7)</f>
        <v>9.3333333333333339</v>
      </c>
      <c r="D10" s="26" t="s">
        <v>557</v>
      </c>
      <c r="E10" s="29">
        <f>AVERAGE(Table_Route_Opt[Optimized_Duration_hrs])</f>
        <v>5.125</v>
      </c>
      <c r="F10" s="34" t="s">
        <v>559</v>
      </c>
      <c r="G10" s="34"/>
      <c r="H10" s="25"/>
      <c r="I10" s="25"/>
      <c r="J10" s="25"/>
    </row>
    <row r="11" spans="1:10" ht="21.75" customHeight="1" x14ac:dyDescent="0.15">
      <c r="A11" s="26">
        <v>7</v>
      </c>
      <c r="B11" s="25" t="s">
        <v>558</v>
      </c>
      <c r="C11" s="30">
        <f>SUMPRODUCT(Current_Routes!G2:G7,Current_Routes!I2:I7)</f>
        <v>3440</v>
      </c>
      <c r="D11" s="26" t="s">
        <v>555</v>
      </c>
      <c r="E11" s="29">
        <f>SUMPRODUCT(Table_Route_Opt[Optimized_Distance_km],Table_Route_Opt[Frequency_per_week])</f>
        <v>2362.39</v>
      </c>
      <c r="F11" s="34" t="s">
        <v>559</v>
      </c>
      <c r="G11" s="34"/>
      <c r="H11" s="25"/>
      <c r="I11" s="25"/>
      <c r="J11" s="25"/>
    </row>
    <row r="12" spans="1:10" ht="21.75" customHeight="1" x14ac:dyDescent="0.15">
      <c r="A12" s="33">
        <v>8</v>
      </c>
      <c r="B12" s="36" t="s">
        <v>533</v>
      </c>
      <c r="C12" s="40">
        <f>C11*52</f>
        <v>178880</v>
      </c>
      <c r="D12" s="38" t="s">
        <v>560</v>
      </c>
      <c r="E12" s="40">
        <f>E11*52</f>
        <v>122844.28</v>
      </c>
      <c r="F12" s="35" t="s">
        <v>573</v>
      </c>
      <c r="G12" s="34"/>
      <c r="H12" s="25"/>
      <c r="I12" s="25"/>
      <c r="J12" s="25"/>
    </row>
    <row r="13" spans="1:10" ht="21.75" customHeight="1" x14ac:dyDescent="0.15">
      <c r="A13" s="98" t="s">
        <v>534</v>
      </c>
      <c r="B13" s="98"/>
      <c r="C13" s="98"/>
      <c r="D13" s="98"/>
      <c r="E13" s="98"/>
      <c r="F13" s="98"/>
      <c r="G13" s="25"/>
      <c r="H13" s="25"/>
      <c r="I13" s="25"/>
      <c r="J13" s="25"/>
    </row>
    <row r="14" spans="1:10" ht="21.75" customHeight="1" x14ac:dyDescent="0.15">
      <c r="A14" s="33">
        <v>9</v>
      </c>
      <c r="B14" s="36" t="s">
        <v>535</v>
      </c>
      <c r="C14" s="37" cm="1">
        <f t="array" ref="C14">SUMPRODUCT((Tabelle6[Reorder_Qty_units]/2)+Tabelle6[Safety_Stock_units],Tabelle6[Purchase_Cost_per_unit_€])</f>
        <v>37505.75</v>
      </c>
      <c r="D14" s="38" t="s">
        <v>561</v>
      </c>
      <c r="E14" s="121">
        <f>Inventory_Optimization!P18</f>
        <v>36709.25</v>
      </c>
      <c r="F14" s="35" t="s">
        <v>701</v>
      </c>
      <c r="G14" s="35" t="s">
        <v>700</v>
      </c>
      <c r="H14" s="25"/>
      <c r="I14" s="25"/>
      <c r="J14" s="25"/>
    </row>
    <row r="15" spans="1:10" ht="21.75" customHeight="1" x14ac:dyDescent="0.15">
      <c r="A15" s="26">
        <v>10</v>
      </c>
      <c r="B15" s="25" t="s">
        <v>537</v>
      </c>
      <c r="C15" s="27">
        <f>C14*Transport_Costs!C18</f>
        <v>6751.0349999999999</v>
      </c>
      <c r="D15" s="26" t="s">
        <v>562</v>
      </c>
      <c r="E15" s="120">
        <f>Inventory_Optimization!P19</f>
        <v>6607.665</v>
      </c>
      <c r="F15" s="34" t="s">
        <v>563</v>
      </c>
      <c r="G15" s="25"/>
      <c r="H15" s="25"/>
      <c r="I15" s="25"/>
      <c r="J15" s="25"/>
    </row>
    <row r="16" spans="1:10" ht="21.75" customHeight="1" x14ac:dyDescent="0.15">
      <c r="A16" s="26">
        <v>11</v>
      </c>
      <c r="B16" s="25" t="s">
        <v>536</v>
      </c>
      <c r="C16" s="27">
        <f>Transport_Costs!F17</f>
        <v>188700</v>
      </c>
      <c r="D16" s="26" t="s">
        <v>562</v>
      </c>
      <c r="E16" s="120">
        <f>C16</f>
        <v>188700</v>
      </c>
      <c r="F16" s="34" t="s">
        <v>565</v>
      </c>
      <c r="G16" s="25"/>
      <c r="H16" s="25"/>
      <c r="I16" s="25"/>
      <c r="J16" s="25"/>
    </row>
    <row r="17" spans="1:10" ht="21.75" customHeight="1" x14ac:dyDescent="0.15">
      <c r="A17" s="26">
        <v>12</v>
      </c>
      <c r="B17" s="25" t="s">
        <v>539</v>
      </c>
      <c r="C17" s="27">
        <f>Table_Order_History[[#Totals],[Total_Orders_2024]]*Transport_Costs!C19</f>
        <v>5852</v>
      </c>
      <c r="D17" s="26" t="s">
        <v>562</v>
      </c>
      <c r="E17" s="120">
        <f>Inventory_Optimization!P20</f>
        <v>4664</v>
      </c>
      <c r="F17" s="34" t="s">
        <v>568</v>
      </c>
      <c r="G17" s="34" t="s">
        <v>585</v>
      </c>
      <c r="H17" s="25"/>
      <c r="I17" s="25"/>
      <c r="J17" s="25"/>
    </row>
    <row r="18" spans="1:10" ht="21.75" customHeight="1" x14ac:dyDescent="0.15">
      <c r="A18" s="33">
        <v>13</v>
      </c>
      <c r="B18" s="36" t="s">
        <v>540</v>
      </c>
      <c r="C18" s="41">
        <f>SUMPRODUCT(Table_Order_History[Total_2024],Tabelle6[Purchase_Cost_per_unit_€])/C14</f>
        <v>6.728501629750105</v>
      </c>
      <c r="D18" s="38" t="s">
        <v>569</v>
      </c>
      <c r="E18" s="41">
        <f>SUMPRODUCT(Table_Order_History[Total_2024],Tabelle2[Unit_Purchase_Cost_€])/'As-Is_KPIs'!E14</f>
        <v>6.8744934859742433</v>
      </c>
      <c r="F18" s="35" t="s">
        <v>570</v>
      </c>
      <c r="G18" s="35" t="s">
        <v>572</v>
      </c>
      <c r="H18" s="25"/>
      <c r="I18" s="30"/>
      <c r="J18" s="25"/>
    </row>
    <row r="19" spans="1:10" ht="21.75" customHeight="1" x14ac:dyDescent="0.15">
      <c r="A19" s="33">
        <v>14</v>
      </c>
      <c r="B19" s="36" t="s">
        <v>541</v>
      </c>
      <c r="C19" s="42">
        <f>365/C18</f>
        <v>54.246847230615295</v>
      </c>
      <c r="D19" s="38" t="s">
        <v>574</v>
      </c>
      <c r="E19" s="42">
        <f>365/E18</f>
        <v>53.094820839483674</v>
      </c>
      <c r="F19" s="35" t="s">
        <v>575</v>
      </c>
      <c r="G19" s="35" t="s">
        <v>576</v>
      </c>
      <c r="H19" s="25"/>
      <c r="I19" s="25"/>
      <c r="J19" s="25"/>
    </row>
    <row r="20" spans="1:10" ht="21.75" customHeight="1" x14ac:dyDescent="0.15">
      <c r="A20" s="101" t="s">
        <v>542</v>
      </c>
      <c r="B20" s="101"/>
      <c r="C20" s="101"/>
      <c r="D20" s="101"/>
      <c r="E20" s="101"/>
      <c r="F20" s="101"/>
      <c r="G20" s="25"/>
      <c r="H20" s="25"/>
      <c r="I20" s="25"/>
      <c r="J20" s="25"/>
    </row>
    <row r="21" spans="1:10" ht="21.75" customHeight="1" x14ac:dyDescent="0.15">
      <c r="A21" s="38">
        <v>15</v>
      </c>
      <c r="B21" s="36" t="s">
        <v>543</v>
      </c>
      <c r="C21" s="45">
        <f>SUM(Tabelle6[Stockout_events_2024])</f>
        <v>33</v>
      </c>
      <c r="D21" s="38" t="s">
        <v>577</v>
      </c>
      <c r="E21" s="38">
        <v>9</v>
      </c>
      <c r="F21" s="35" t="s">
        <v>578</v>
      </c>
      <c r="G21" s="35" t="s">
        <v>579</v>
      </c>
      <c r="H21" s="25"/>
      <c r="I21" s="25"/>
      <c r="J21" s="25"/>
    </row>
    <row r="22" spans="1:10" ht="21.75" customHeight="1" x14ac:dyDescent="0.15">
      <c r="A22" s="26">
        <v>16</v>
      </c>
      <c r="B22" s="25" t="s">
        <v>580</v>
      </c>
      <c r="C22" s="25">
        <f>COUNTIF(Tabelle6[Stockout_events_2024],"&gt;0")</f>
        <v>16</v>
      </c>
      <c r="D22" s="26" t="s">
        <v>581</v>
      </c>
      <c r="E22" s="26">
        <f>ROUND(C22*(E21/C21),0)</f>
        <v>4</v>
      </c>
      <c r="F22" s="34" t="s">
        <v>582</v>
      </c>
      <c r="G22" s="34" t="s">
        <v>583</v>
      </c>
      <c r="H22" s="25"/>
      <c r="I22" s="25"/>
      <c r="J22" s="25"/>
    </row>
    <row r="23" spans="1:10" ht="21.75" customHeight="1" x14ac:dyDescent="0.15">
      <c r="A23" s="38">
        <v>17</v>
      </c>
      <c r="B23" s="36" t="s">
        <v>544</v>
      </c>
      <c r="C23" s="37">
        <f>SUM(Tabelle6[Emergency_order_cost_€_total])</f>
        <v>1327.13</v>
      </c>
      <c r="D23" s="38" t="s">
        <v>562</v>
      </c>
      <c r="E23" s="121">
        <f>C23*(E21/C21)</f>
        <v>361.94454545454545</v>
      </c>
      <c r="F23" s="35" t="s">
        <v>584</v>
      </c>
      <c r="G23" s="35" t="s">
        <v>586</v>
      </c>
      <c r="H23" s="25"/>
      <c r="I23" s="25"/>
      <c r="J23" s="25"/>
    </row>
    <row r="24" spans="1:10" ht="21.75" customHeight="1" x14ac:dyDescent="0.15">
      <c r="A24" s="101" t="s">
        <v>545</v>
      </c>
      <c r="B24" s="101"/>
      <c r="C24" s="101"/>
      <c r="D24" s="101"/>
      <c r="E24" s="101"/>
      <c r="F24" s="101"/>
      <c r="G24" s="34"/>
      <c r="H24" s="25"/>
      <c r="I24" s="25"/>
      <c r="J24" s="25"/>
    </row>
    <row r="25" spans="1:10" ht="21.75" customHeight="1" x14ac:dyDescent="0.15">
      <c r="A25" s="38">
        <v>18</v>
      </c>
      <c r="B25" s="36" t="s">
        <v>546</v>
      </c>
      <c r="C25" s="37">
        <f>C7+C15+C16+C17+C23</f>
        <v>482258.64499999996</v>
      </c>
      <c r="D25" s="38" t="s">
        <v>562</v>
      </c>
      <c r="E25" s="121">
        <f>E7+E15+E16+E17+E23</f>
        <v>378263.46394545451</v>
      </c>
      <c r="F25" s="39" t="s">
        <v>587</v>
      </c>
      <c r="G25" s="43"/>
      <c r="H25" s="25"/>
      <c r="I25" s="25"/>
      <c r="J25" s="25"/>
    </row>
    <row r="26" spans="1:10" ht="21.75" customHeight="1" x14ac:dyDescent="0.15">
      <c r="H26" s="25"/>
      <c r="I26" s="25"/>
      <c r="J26" s="25"/>
    </row>
    <row r="27" spans="1:10" ht="21.75" customHeight="1" x14ac:dyDescent="0.15">
      <c r="A27" s="102" t="s">
        <v>547</v>
      </c>
      <c r="B27" s="102"/>
      <c r="C27" s="102"/>
      <c r="D27" s="102"/>
      <c r="E27" s="102"/>
      <c r="F27" s="102"/>
      <c r="G27" s="102"/>
      <c r="H27" s="25"/>
      <c r="I27" s="25"/>
      <c r="J27" s="25"/>
    </row>
    <row r="28" spans="1:10" ht="21.75" customHeight="1" x14ac:dyDescent="0.15">
      <c r="A28" s="100" t="s">
        <v>588</v>
      </c>
      <c r="B28" s="100"/>
      <c r="C28" s="100"/>
      <c r="D28" s="100"/>
      <c r="E28" s="100"/>
      <c r="F28" s="100"/>
      <c r="G28" s="100"/>
      <c r="H28" s="34"/>
      <c r="I28" s="25"/>
      <c r="J28" s="25"/>
    </row>
    <row r="29" spans="1:10" ht="21.75" customHeight="1" x14ac:dyDescent="0.15">
      <c r="A29" s="100" t="s">
        <v>672</v>
      </c>
      <c r="B29" s="100"/>
      <c r="C29" s="100"/>
      <c r="D29" s="100"/>
      <c r="E29" s="100"/>
      <c r="F29" s="100"/>
      <c r="G29" s="100"/>
      <c r="H29" s="34"/>
      <c r="I29" s="25"/>
      <c r="J29" s="25"/>
    </row>
    <row r="30" spans="1:10" ht="21.75" customHeight="1" x14ac:dyDescent="0.15">
      <c r="A30" s="100" t="s">
        <v>589</v>
      </c>
      <c r="B30" s="100"/>
      <c r="C30" s="100"/>
      <c r="D30" s="100"/>
      <c r="E30" s="100"/>
      <c r="F30" s="100"/>
      <c r="G30" s="100"/>
      <c r="H30" s="34"/>
      <c r="I30" s="25"/>
      <c r="J30" s="25"/>
    </row>
    <row r="31" spans="1:10" ht="21.75" customHeight="1" x14ac:dyDescent="0.15">
      <c r="A31" s="100" t="s">
        <v>590</v>
      </c>
      <c r="B31" s="100"/>
      <c r="C31" s="100"/>
      <c r="D31" s="100"/>
      <c r="E31" s="100"/>
      <c r="F31" s="100"/>
      <c r="G31" s="100"/>
      <c r="H31" s="34"/>
      <c r="I31" s="25"/>
      <c r="J31" s="25"/>
    </row>
    <row r="32" spans="1:10" ht="21.75" customHeight="1" x14ac:dyDescent="0.15">
      <c r="A32" s="100" t="s">
        <v>591</v>
      </c>
      <c r="B32" s="100"/>
      <c r="C32" s="100"/>
      <c r="D32" s="100"/>
      <c r="E32" s="100"/>
      <c r="F32" s="100"/>
      <c r="G32" s="100"/>
      <c r="H32" s="34"/>
      <c r="I32" s="25"/>
      <c r="J32" s="25"/>
    </row>
    <row r="33" spans="1:10" ht="21.75" customHeight="1" x14ac:dyDescent="0.15">
      <c r="A33" s="100" t="s">
        <v>592</v>
      </c>
      <c r="B33" s="100"/>
      <c r="C33" s="100"/>
      <c r="D33" s="100"/>
      <c r="E33" s="100"/>
      <c r="F33" s="100"/>
      <c r="G33" s="100"/>
      <c r="H33" s="34"/>
      <c r="I33" s="25"/>
      <c r="J33" s="25"/>
    </row>
    <row r="34" spans="1:10" ht="21.75" customHeight="1" x14ac:dyDescent="0.15">
      <c r="A34" s="100" t="s">
        <v>593</v>
      </c>
      <c r="B34" s="100"/>
      <c r="C34" s="100"/>
      <c r="D34" s="100"/>
      <c r="E34" s="100"/>
      <c r="F34" s="100"/>
      <c r="G34" s="100"/>
      <c r="H34" s="34"/>
      <c r="I34" s="25"/>
      <c r="J34" s="25"/>
    </row>
    <row r="35" spans="1:10" ht="21.75" customHeight="1" x14ac:dyDescent="0.15">
      <c r="A35" s="100" t="s">
        <v>594</v>
      </c>
      <c r="B35" s="100"/>
      <c r="C35" s="100"/>
      <c r="D35" s="100"/>
      <c r="E35" s="100"/>
      <c r="F35" s="100"/>
      <c r="G35" s="100"/>
      <c r="H35" s="34"/>
      <c r="I35" s="25"/>
      <c r="J35" s="25"/>
    </row>
    <row r="36" spans="1:10" ht="21.75" customHeight="1" x14ac:dyDescent="0.15">
      <c r="A36" s="100" t="s">
        <v>595</v>
      </c>
      <c r="B36" s="100"/>
      <c r="C36" s="100"/>
      <c r="D36" s="100"/>
      <c r="E36" s="100"/>
      <c r="F36" s="100"/>
      <c r="G36" s="100"/>
      <c r="H36" s="34"/>
      <c r="I36" s="25"/>
      <c r="J36" s="25"/>
    </row>
    <row r="37" spans="1:10" ht="21.75" customHeight="1" x14ac:dyDescent="0.15">
      <c r="A37" s="100" t="s">
        <v>702</v>
      </c>
      <c r="B37" s="100"/>
      <c r="C37" s="100"/>
      <c r="D37" s="100"/>
      <c r="E37" s="100"/>
      <c r="F37" s="100"/>
      <c r="G37" s="100"/>
      <c r="H37" s="25"/>
      <c r="I37" s="25"/>
      <c r="J37" s="25"/>
    </row>
    <row r="38" spans="1:10" ht="21.75" customHeight="1" x14ac:dyDescent="0.15">
      <c r="A38" s="100" t="s">
        <v>703</v>
      </c>
      <c r="B38" s="100"/>
      <c r="C38" s="100"/>
      <c r="D38" s="100"/>
      <c r="E38" s="100"/>
      <c r="F38" s="100"/>
      <c r="G38" s="100"/>
      <c r="H38" s="25"/>
      <c r="I38" s="25"/>
      <c r="J38" s="25"/>
    </row>
  </sheetData>
  <mergeCells count="18">
    <mergeCell ref="A37:G37"/>
    <mergeCell ref="A38:G38"/>
    <mergeCell ref="A36:G36"/>
    <mergeCell ref="A13:F13"/>
    <mergeCell ref="A20:F20"/>
    <mergeCell ref="A24:F24"/>
    <mergeCell ref="A27:G27"/>
    <mergeCell ref="A28:G28"/>
    <mergeCell ref="A30:G30"/>
    <mergeCell ref="A31:G31"/>
    <mergeCell ref="A32:G32"/>
    <mergeCell ref="A33:G33"/>
    <mergeCell ref="A29:G29"/>
    <mergeCell ref="A3:F3"/>
    <mergeCell ref="A8:F8"/>
    <mergeCell ref="A1:G1"/>
    <mergeCell ref="A34:G34"/>
    <mergeCell ref="A35:G35"/>
  </mergeCells>
  <pageMargins left="0.7" right="0.7" top="0.78740157499999996" bottom="0.78740157499999996" header="0.3" footer="0.3"/>
  <ignoredErrors>
    <ignoredError sqref="C6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86124-FE2D-BE4E-8793-DDDA1533076E}">
  <dimension ref="A1:P19"/>
  <sheetViews>
    <sheetView zoomScale="90" zoomScaleNormal="90" workbookViewId="0">
      <selection activeCell="G25" sqref="G25"/>
    </sheetView>
  </sheetViews>
  <sheetFormatPr baseColWidth="10" defaultRowHeight="15" x14ac:dyDescent="0.2"/>
  <cols>
    <col min="1" max="2" width="25.1640625" bestFit="1" customWidth="1"/>
    <col min="3" max="3" width="18" bestFit="1" customWidth="1"/>
    <col min="4" max="4" width="19.33203125" bestFit="1" customWidth="1"/>
    <col min="5" max="5" width="20.6640625" bestFit="1" customWidth="1"/>
    <col min="6" max="6" width="26.1640625" bestFit="1" customWidth="1"/>
    <col min="7" max="7" width="19.6640625" customWidth="1"/>
    <col min="8" max="8" width="26" bestFit="1" customWidth="1"/>
    <col min="9" max="9" width="19.33203125" customWidth="1"/>
    <col min="10" max="10" width="24" bestFit="1" customWidth="1"/>
    <col min="11" max="11" width="18.83203125" bestFit="1" customWidth="1"/>
    <col min="12" max="12" width="18.5" bestFit="1" customWidth="1"/>
    <col min="13" max="13" width="21" bestFit="1" customWidth="1"/>
    <col min="14" max="14" width="17.33203125" bestFit="1" customWidth="1"/>
    <col min="15" max="15" width="19" bestFit="1" customWidth="1"/>
    <col min="16" max="16" width="18.33203125" bestFit="1" customWidth="1"/>
  </cols>
  <sheetData>
    <row r="1" spans="1:16" ht="16" thickBot="1" x14ac:dyDescent="0.25">
      <c r="A1" s="9" t="s">
        <v>369</v>
      </c>
      <c r="B1" s="65" t="s">
        <v>370</v>
      </c>
      <c r="C1" s="65" t="s">
        <v>155</v>
      </c>
      <c r="D1" s="65" t="s">
        <v>371</v>
      </c>
      <c r="E1" s="65" t="s">
        <v>372</v>
      </c>
      <c r="F1" s="65" t="s">
        <v>637</v>
      </c>
      <c r="G1" s="65" t="s">
        <v>655</v>
      </c>
      <c r="H1" s="65" t="s">
        <v>638</v>
      </c>
      <c r="I1" s="65" t="s">
        <v>654</v>
      </c>
      <c r="J1" s="65" t="s">
        <v>375</v>
      </c>
      <c r="K1" s="65" t="s">
        <v>376</v>
      </c>
      <c r="L1" s="65" t="s">
        <v>377</v>
      </c>
      <c r="M1" s="65" t="s">
        <v>657</v>
      </c>
      <c r="N1" s="65" t="s">
        <v>378</v>
      </c>
      <c r="O1" s="65" t="s">
        <v>659</v>
      </c>
      <c r="P1" s="56" t="s">
        <v>639</v>
      </c>
    </row>
    <row r="2" spans="1:16" ht="16" thickTop="1" x14ac:dyDescent="0.2">
      <c r="A2" s="66" t="s">
        <v>382</v>
      </c>
      <c r="B2" s="67" t="s">
        <v>640</v>
      </c>
      <c r="C2" s="68" t="s">
        <v>647</v>
      </c>
      <c r="D2" s="69" t="s">
        <v>384</v>
      </c>
      <c r="E2" s="68">
        <v>8</v>
      </c>
      <c r="F2" s="68">
        <v>27.28</v>
      </c>
      <c r="G2" s="68">
        <f>_xlfn.XLOOKUP(Table_Route_Opt[[#This Row],[Route_ID]],Current_Routes!$A$2:$A$9,Current_Routes!$G$2:$G$9,"-",0)-Table_Route_Opt[[#This Row],[Optimized_Distance_km]]</f>
        <v>96.72</v>
      </c>
      <c r="H2" s="68">
        <v>0.67</v>
      </c>
      <c r="I2" s="68">
        <f>_xlfn.XLOOKUP(Table_Route_Opt[[#This Row],[Route_ID]],Current_Routes!$A$2:$A$9,Current_Routes!$H$2:$H$9,"-",0)-Table_Route_Opt[[#This Row],[Optimized_Duration_hrs]]</f>
        <v>4.93</v>
      </c>
      <c r="J2" s="69">
        <v>3</v>
      </c>
      <c r="K2" s="70">
        <f>Table_Route_Opt[[#This Row],[Cost_per_km_€]]*Table_Route_Opt[[#This Row],[Optimized_Distance_km]]</f>
        <v>65.199200000000005</v>
      </c>
      <c r="L2" s="71">
        <v>2.39</v>
      </c>
      <c r="M2" s="71">
        <f>_xlfn.XLOOKUP(Table_Route_Opt[[#This Row],[Route_ID]],Current_Routes!$A$2:$A$9,Current_Routes!$J$2:$J$9,"-",0)-Table_Route_Opt[[#This Row],[Cost_per_run_€]]</f>
        <v>231.16079999999999</v>
      </c>
      <c r="N2" s="69" t="s">
        <v>385</v>
      </c>
      <c r="O2" s="72">
        <f>Table_Route_Opt[[#This Row],[Cost_per_km_€]]*Table_Route_Opt[[#This Row],[Optimized_Distance_km]]+IF(ISNUMBER(SEARCH("DPD",$N2)),18,0)</f>
        <v>65.199200000000005</v>
      </c>
      <c r="P2" s="70">
        <f>Table_Route_Opt[[#This Row],[Final_Cost_€]]*Table_Route_Opt[[#This Row],[Frequency_per_week]]*52</f>
        <v>10171.075199999999</v>
      </c>
    </row>
    <row r="3" spans="1:16" x14ac:dyDescent="0.2">
      <c r="A3" s="73" t="s">
        <v>387</v>
      </c>
      <c r="B3" s="74" t="s">
        <v>641</v>
      </c>
      <c r="C3" s="64" t="s">
        <v>646</v>
      </c>
      <c r="D3" s="75" t="s">
        <v>384</v>
      </c>
      <c r="E3" s="64">
        <v>9</v>
      </c>
      <c r="F3" s="64">
        <v>54.51</v>
      </c>
      <c r="G3" s="64">
        <f>_xlfn.XLOOKUP(Table_Route_Opt[[#This Row],[Route_ID]],Current_Routes!$A$2:$A$9,Current_Routes!$G$2:$G$9,"-",0)-Table_Route_Opt[[#This Row],[Optimized_Distance_km]]</f>
        <v>141.49</v>
      </c>
      <c r="H3" s="64">
        <v>1.28</v>
      </c>
      <c r="I3" s="64">
        <f>_xlfn.XLOOKUP(Table_Route_Opt[[#This Row],[Route_ID]],Current_Routes!$A$2:$A$9,Current_Routes!$H$2:$H$9,"-",0)-Table_Route_Opt[[#This Row],[Optimized_Duration_hrs]]</f>
        <v>5.72</v>
      </c>
      <c r="J3" s="75">
        <v>3</v>
      </c>
      <c r="K3" s="76">
        <f>Table_Route_Opt[[#This Row],[Cost_per_km_€]]*Table_Route_Opt[[#This Row],[Optimized_Distance_km]]</f>
        <v>99.208200000000005</v>
      </c>
      <c r="L3" s="77">
        <v>1.82</v>
      </c>
      <c r="M3" s="77">
        <f>_xlfn.XLOOKUP(Table_Route_Opt[[#This Row],[Route_ID]],Current_Routes!$A$2:$A$9,Current_Routes!$J$2:$J$9,"-",0)-Table_Route_Opt[[#This Row],[Cost_per_run_€]]</f>
        <v>257.51179999999999</v>
      </c>
      <c r="N3" s="75" t="s">
        <v>385</v>
      </c>
      <c r="O3" s="78">
        <f>Table_Route_Opt[[#This Row],[Cost_per_km_€]]*Table_Route_Opt[[#This Row],[Optimized_Distance_km]]+IF(ISNUMBER(SEARCH("DPD",$N3)),18,0)</f>
        <v>99.208200000000005</v>
      </c>
      <c r="P3" s="76">
        <f>Table_Route_Opt[[#This Row],[Final_Cost_€]]*Table_Route_Opt[[#This Row],[Frequency_per_week]]*52</f>
        <v>15476.4792</v>
      </c>
    </row>
    <row r="4" spans="1:16" x14ac:dyDescent="0.2">
      <c r="A4" s="79" t="s">
        <v>390</v>
      </c>
      <c r="B4" s="80" t="s">
        <v>642</v>
      </c>
      <c r="C4" s="81" t="s">
        <v>225</v>
      </c>
      <c r="D4" s="82" t="s">
        <v>384</v>
      </c>
      <c r="E4" s="81">
        <v>10</v>
      </c>
      <c r="F4" s="83">
        <v>493.36</v>
      </c>
      <c r="G4" s="83">
        <f>_xlfn.XLOOKUP(Table_Route_Opt[[#This Row],[Route_ID]],Current_Routes!$A$2:$A$9,Current_Routes!$G$2:$G$9,"-",0)-Table_Route_Opt[[#This Row],[Optimized_Distance_km]]</f>
        <v>134.63999999999999</v>
      </c>
      <c r="H4" s="83">
        <v>7.55</v>
      </c>
      <c r="I4" s="83">
        <f>_xlfn.XLOOKUP(Table_Route_Opt[[#This Row],[Route_ID]],Current_Routes!$A$2:$A$9,Current_Routes!$H$2:$H$9,"-",0)-Table_Route_Opt[[#This Row],[Optimized_Duration_hrs]]</f>
        <v>5.45</v>
      </c>
      <c r="J4" s="82">
        <v>1</v>
      </c>
      <c r="K4" s="84">
        <f>Table_Route_Opt[[#This Row],[Cost_per_km_€]]*Table_Route_Opt[[#This Row],[Optimized_Distance_km]]</f>
        <v>616.70000000000005</v>
      </c>
      <c r="L4" s="85">
        <v>1.25</v>
      </c>
      <c r="M4" s="85">
        <f>_xlfn.XLOOKUP(Table_Route_Opt[[#This Row],[Route_ID]],Current_Routes!$A$2:$A$9,Current_Routes!$J$2:$J$9,"-",0)-Table_Route_Opt[[#This Row],[Cost_per_run_€]]</f>
        <v>168.29999999999995</v>
      </c>
      <c r="N4" s="80" t="s">
        <v>513</v>
      </c>
      <c r="O4" s="86">
        <f>Table_Route_Opt[[#This Row],[Cost_per_km_€]]*Table_Route_Opt[[#This Row],[Optimized_Distance_km]]+IF(ISNUMBER(SEARCH("DPD",$N4)),18,0)</f>
        <v>634.70000000000005</v>
      </c>
      <c r="P4" s="84">
        <f>Table_Route_Opt[[#This Row],[Final_Cost_€]]*Table_Route_Opt[[#This Row],[Frequency_per_week]]*52</f>
        <v>33004.400000000001</v>
      </c>
    </row>
    <row r="5" spans="1:16" x14ac:dyDescent="0.2">
      <c r="A5" s="73" t="s">
        <v>393</v>
      </c>
      <c r="B5" s="74" t="s">
        <v>643</v>
      </c>
      <c r="C5" s="64" t="s">
        <v>263</v>
      </c>
      <c r="D5" s="75" t="s">
        <v>384</v>
      </c>
      <c r="E5" s="64">
        <v>9</v>
      </c>
      <c r="F5" s="87">
        <v>435.44</v>
      </c>
      <c r="G5" s="87">
        <f>_xlfn.XLOOKUP(Table_Route_Opt[[#This Row],[Route_ID]],Current_Routes!$A$2:$A$9,Current_Routes!$G$2:$G$9,"-",0)-Table_Route_Opt[[#This Row],[Optimized_Distance_km]]</f>
        <v>4.5600000000000023</v>
      </c>
      <c r="H5" s="87">
        <v>6.64</v>
      </c>
      <c r="I5" s="87">
        <f>_xlfn.XLOOKUP(Table_Route_Opt[[#This Row],[Route_ID]],Current_Routes!$A$2:$A$9,Current_Routes!$H$2:$H$9,"-",0)-Table_Route_Opt[[#This Row],[Optimized_Duration_hrs]]</f>
        <v>2.96</v>
      </c>
      <c r="J5" s="75">
        <v>1</v>
      </c>
      <c r="K5" s="76">
        <f>Table_Route_Opt[[#This Row],[Cost_per_km_€]]*Table_Route_Opt[[#This Row],[Optimized_Distance_km]]</f>
        <v>544.29999999999995</v>
      </c>
      <c r="L5" s="77">
        <v>1.25</v>
      </c>
      <c r="M5" s="77">
        <f>_xlfn.XLOOKUP(Table_Route_Opt[[#This Row],[Route_ID]],Current_Routes!$A$2:$A$9,Current_Routes!$J$2:$J$9,"-",0)-Table_Route_Opt[[#This Row],[Cost_per_run_€]]</f>
        <v>5.7000000000000455</v>
      </c>
      <c r="N5" s="74" t="s">
        <v>513</v>
      </c>
      <c r="O5" s="78">
        <f>Table_Route_Opt[[#This Row],[Cost_per_km_€]]*Table_Route_Opt[[#This Row],[Optimized_Distance_km]]+IF(ISNUMBER(SEARCH("DPD",$N5)),18,0)</f>
        <v>562.29999999999995</v>
      </c>
      <c r="P5" s="76">
        <f>Table_Route_Opt[[#This Row],[Final_Cost_€]]*Table_Route_Opt[[#This Row],[Frequency_per_week]]*52</f>
        <v>29239.599999999999</v>
      </c>
    </row>
    <row r="6" spans="1:16" x14ac:dyDescent="0.2">
      <c r="A6" s="79" t="s">
        <v>396</v>
      </c>
      <c r="B6" s="80" t="s">
        <v>644</v>
      </c>
      <c r="C6" s="81" t="s">
        <v>296</v>
      </c>
      <c r="D6" s="82" t="s">
        <v>384</v>
      </c>
      <c r="E6" s="81">
        <v>9</v>
      </c>
      <c r="F6" s="83">
        <v>831.04</v>
      </c>
      <c r="G6" s="83">
        <f>_xlfn.XLOOKUP(Table_Route_Opt[[#This Row],[Route_ID]],Current_Routes!$A$2:$A$9,Current_Routes!$G$2:$G$9,"-",0)-Table_Route_Opt[[#This Row],[Optimized_Distance_km]]</f>
        <v>-11.039999999999964</v>
      </c>
      <c r="H6" s="81">
        <v>11.65</v>
      </c>
      <c r="I6" s="81">
        <f>_xlfn.XLOOKUP(Table_Route_Opt[[#This Row],[Route_ID]],Current_Routes!$A$2:$A$9,Current_Routes!$H$2:$H$9,"-",0)-Table_Route_Opt[[#This Row],[Optimized_Duration_hrs]]</f>
        <v>2.75</v>
      </c>
      <c r="J6" s="82">
        <v>1</v>
      </c>
      <c r="K6" s="84">
        <f>Table_Route_Opt[[#This Row],[Cost_per_km_€]]*Table_Route_Opt[[#This Row],[Optimized_Distance_km]]</f>
        <v>1038.8</v>
      </c>
      <c r="L6" s="85">
        <v>1.25</v>
      </c>
      <c r="M6" s="85">
        <f>_xlfn.XLOOKUP(Table_Route_Opt[[#This Row],[Route_ID]],Current_Routes!$A$2:$A$9,Current_Routes!$J$2:$J$9,"-",0)-Table_Route_Opt[[#This Row],[Cost_per_run_€]]</f>
        <v>-13.799999999999955</v>
      </c>
      <c r="N6" s="80" t="s">
        <v>513</v>
      </c>
      <c r="O6" s="86">
        <f>Table_Route_Opt[[#This Row],[Cost_per_km_€]]*Table_Route_Opt[[#This Row],[Optimized_Distance_km]]+IF(ISNUMBER(SEARCH("DPD",$N6)),18,0)</f>
        <v>1056.8</v>
      </c>
      <c r="P6" s="84">
        <f>Table_Route_Opt[[#This Row],[Final_Cost_€]]*Table_Route_Opt[[#This Row],[Frequency_per_week]]*52</f>
        <v>54953.599999999999</v>
      </c>
    </row>
    <row r="7" spans="1:16" x14ac:dyDescent="0.2">
      <c r="A7" s="73" t="s">
        <v>399</v>
      </c>
      <c r="B7" s="74" t="s">
        <v>645</v>
      </c>
      <c r="C7" s="64" t="s">
        <v>330</v>
      </c>
      <c r="D7" s="75" t="s">
        <v>384</v>
      </c>
      <c r="E7" s="64">
        <v>8</v>
      </c>
      <c r="F7" s="87">
        <v>178.59</v>
      </c>
      <c r="G7" s="87">
        <f>_xlfn.XLOOKUP(Table_Route_Opt[[#This Row],[Route_ID]],Current_Routes!$A$2:$A$9,Current_Routes!$G$2:$G$9,"-",0)-Table_Route_Opt[[#This Row],[Optimized_Distance_km]]</f>
        <v>117.41</v>
      </c>
      <c r="H7" s="87">
        <v>2.96</v>
      </c>
      <c r="I7" s="87">
        <f>_xlfn.XLOOKUP(Table_Route_Opt[[#This Row],[Route_ID]],Current_Routes!$A$2:$A$9,Current_Routes!$H$2:$H$9,"-",0)-Table_Route_Opt[[#This Row],[Optimized_Duration_hrs]]</f>
        <v>3.4400000000000004</v>
      </c>
      <c r="J7" s="75">
        <v>2</v>
      </c>
      <c r="K7" s="76">
        <f>Table_Route_Opt[[#This Row],[Cost_per_km_€]]*Table_Route_Opt[[#This Row],[Optimized_Distance_km]]</f>
        <v>223.23750000000001</v>
      </c>
      <c r="L7" s="77">
        <v>1.25</v>
      </c>
      <c r="M7" s="77">
        <f>_xlfn.XLOOKUP(Table_Route_Opt[[#This Row],[Route_ID]],Current_Routes!$A$2:$A$9,Current_Routes!$J$2:$J$9,"-",0)-Table_Route_Opt[[#This Row],[Cost_per_run_€]]</f>
        <v>146.76249999999999</v>
      </c>
      <c r="N7" s="74" t="s">
        <v>513</v>
      </c>
      <c r="O7" s="78">
        <f>Table_Route_Opt[[#This Row],[Cost_per_km_€]]*Table_Route_Opt[[#This Row],[Optimized_Distance_km]]+IF(ISNUMBER(SEARCH("DPD",$N7)),18,0)</f>
        <v>241.23750000000001</v>
      </c>
      <c r="P7" s="76">
        <f>Table_Route_Opt[[#This Row],[Final_Cost_€]]*Table_Route_Opt[[#This Row],[Frequency_per_week]]*52</f>
        <v>25088.7</v>
      </c>
    </row>
    <row r="8" spans="1:16" ht="144" x14ac:dyDescent="0.2">
      <c r="A8" s="88" t="s">
        <v>381</v>
      </c>
      <c r="B8" s="89"/>
      <c r="C8" s="90"/>
      <c r="D8" s="89"/>
      <c r="E8" s="91" t="s">
        <v>648</v>
      </c>
      <c r="F8" s="92" t="s">
        <v>651</v>
      </c>
      <c r="G8" s="92" t="s">
        <v>653</v>
      </c>
      <c r="H8" s="90"/>
      <c r="I8" s="91" t="s">
        <v>656</v>
      </c>
      <c r="J8" s="90"/>
      <c r="K8" s="93" t="s">
        <v>515</v>
      </c>
      <c r="L8" s="90"/>
      <c r="M8" s="94"/>
      <c r="N8" s="90"/>
      <c r="O8" s="95" t="s">
        <v>662</v>
      </c>
      <c r="P8" s="96" t="s">
        <v>663</v>
      </c>
    </row>
    <row r="11" spans="1:16" x14ac:dyDescent="0.2">
      <c r="A11" s="97" t="s">
        <v>661</v>
      </c>
      <c r="B11" s="97"/>
      <c r="C11" s="97"/>
      <c r="D11" s="97"/>
    </row>
    <row r="13" spans="1:16" ht="16" thickBot="1" x14ac:dyDescent="0.25">
      <c r="A13" s="54" t="s">
        <v>433</v>
      </c>
      <c r="B13" s="55" t="s">
        <v>369</v>
      </c>
      <c r="C13" s="55" t="s">
        <v>660</v>
      </c>
      <c r="D13" s="105" t="s">
        <v>658</v>
      </c>
    </row>
    <row r="14" spans="1:16" ht="16" thickTop="1" x14ac:dyDescent="0.2">
      <c r="A14" s="12" t="s">
        <v>463</v>
      </c>
      <c r="B14" t="s">
        <v>382</v>
      </c>
      <c r="C14" s="62">
        <f>_xlfn.XLOOKUP(Table_Annual_Route_Cost_Comp[[#This Row],[Route_ID]],Table_Route_Opt[Route_ID],Table_Route_Opt[Annual_Cost_€],"-",0)</f>
        <v>10171.075199999999</v>
      </c>
      <c r="D14" s="20">
        <f>_xlfn.XLOOKUP(Table_Annual_Route_Cost_Comp[[#This Row],[Sub_Category]],Transport_Costs!B9:B16,Transport_Costs!F9:F16,"-",0)-Table_Annual_Route_Cost_Comp[[#This Row],[Annual_Opt._Cost_€]]</f>
        <v>36061.084800000004</v>
      </c>
    </row>
    <row r="15" spans="1:16" x14ac:dyDescent="0.2">
      <c r="A15" s="11" t="s">
        <v>465</v>
      </c>
      <c r="B15" t="s">
        <v>387</v>
      </c>
      <c r="C15" s="63">
        <f>_xlfn.XLOOKUP(Table_Annual_Route_Cost_Comp[[#This Row],[Route_ID]],Table_Route_Opt[Route_ID],Table_Route_Opt[Annual_Cost_€],"-",0)</f>
        <v>15476.4792</v>
      </c>
      <c r="D15" s="20">
        <f>_xlfn.XLOOKUP(Table_Annual_Route_Cost_Comp[[#This Row],[Sub_Category]],Transport_Costs!B10:B17,Transport_Costs!F10:F17,"-",0)-Table_Annual_Route_Cost_Comp[[#This Row],[Annual_Opt._Cost_€]]</f>
        <v>40171.840800000005</v>
      </c>
    </row>
    <row r="16" spans="1:16" x14ac:dyDescent="0.2">
      <c r="A16" s="12" t="s">
        <v>466</v>
      </c>
      <c r="B16" t="s">
        <v>390</v>
      </c>
      <c r="C16" s="62">
        <f>_xlfn.XLOOKUP(Table_Annual_Route_Cost_Comp[[#This Row],[Route_ID]],Table_Route_Opt[Route_ID],Table_Route_Opt[Annual_Cost_€],"-",0)</f>
        <v>33004.400000000001</v>
      </c>
      <c r="D16" s="20">
        <f>_xlfn.XLOOKUP(Table_Annual_Route_Cost_Comp[[#This Row],[Sub_Category]],Transport_Costs!B11:B18,Transport_Costs!F11:F18,"-",0)-Table_Annual_Route_Cost_Comp[[#This Row],[Annual_Opt._Cost_€]]</f>
        <v>8751.5999999999985</v>
      </c>
    </row>
    <row r="17" spans="1:4" x14ac:dyDescent="0.2">
      <c r="A17" s="11" t="s">
        <v>468</v>
      </c>
      <c r="B17" t="s">
        <v>393</v>
      </c>
      <c r="C17" s="63">
        <f>_xlfn.XLOOKUP(Table_Annual_Route_Cost_Comp[[#This Row],[Route_ID]],Table_Route_Opt[Route_ID],Table_Route_Opt[Annual_Cost_€],"-",0)</f>
        <v>29239.599999999999</v>
      </c>
      <c r="D17" s="20">
        <f>_xlfn.XLOOKUP(Table_Annual_Route_Cost_Comp[[#This Row],[Sub_Category]],Transport_Costs!B12:B19,Transport_Costs!F12:F19,"-",0)-Table_Annual_Route_Cost_Comp[[#This Row],[Annual_Opt._Cost_€]]</f>
        <v>296.40000000000146</v>
      </c>
    </row>
    <row r="18" spans="1:4" x14ac:dyDescent="0.2">
      <c r="A18" s="12" t="s">
        <v>469</v>
      </c>
      <c r="B18" t="s">
        <v>396</v>
      </c>
      <c r="C18" s="62">
        <f>_xlfn.XLOOKUP(Table_Annual_Route_Cost_Comp[[#This Row],[Route_ID]],Table_Route_Opt[Route_ID],Table_Route_Opt[Annual_Cost_€],"-",0)</f>
        <v>54953.599999999999</v>
      </c>
      <c r="D18" s="20">
        <f>_xlfn.XLOOKUP(Table_Annual_Route_Cost_Comp[[#This Row],[Sub_Category]],Transport_Costs!B13:B20,Transport_Costs!F13:F20,"-",0)-Table_Annual_Route_Cost_Comp[[#This Row],[Annual_Opt._Cost_€]]</f>
        <v>-717.59999999999854</v>
      </c>
    </row>
    <row r="19" spans="1:4" x14ac:dyDescent="0.2">
      <c r="A19" s="11" t="s">
        <v>471</v>
      </c>
      <c r="B19" t="s">
        <v>399</v>
      </c>
      <c r="C19" s="63">
        <f>_xlfn.XLOOKUP(Table_Annual_Route_Cost_Comp[[#This Row],[Route_ID]],Table_Route_Opt[Route_ID],Table_Route_Opt[Annual_Cost_€],"-",0)</f>
        <v>25088.7</v>
      </c>
      <c r="D19" s="20">
        <f>_xlfn.XLOOKUP(Table_Annual_Route_Cost_Comp[[#This Row],[Sub_Category]],Transport_Costs!B14:B21,Transport_Costs!F14:F21,"-",0)-Table_Annual_Route_Cost_Comp[[#This Row],[Annual_Opt._Cost_€]]</f>
        <v>17135.3</v>
      </c>
    </row>
  </sheetData>
  <mergeCells count="1">
    <mergeCell ref="A11:D11"/>
  </mergeCells>
  <phoneticPr fontId="9" type="noConversion"/>
  <conditionalFormatting sqref="D14:D19">
    <cfRule type="colorScale" priority="1">
      <colorScale>
        <cfvo type="min"/>
        <cfvo type="num" val="0"/>
        <cfvo type="max"/>
        <color theme="5"/>
        <color rgb="FFFFEB84"/>
        <color theme="6"/>
      </colorScale>
    </cfRule>
  </conditionalFormatting>
  <conditionalFormatting sqref="G2:G7">
    <cfRule type="colorScale" priority="10">
      <colorScale>
        <cfvo type="min"/>
        <cfvo type="num" val="0"/>
        <cfvo type="max"/>
        <color theme="5"/>
        <color rgb="FFFFEB84"/>
        <color theme="6"/>
      </colorScale>
    </cfRule>
  </conditionalFormatting>
  <conditionalFormatting sqref="I2:I7">
    <cfRule type="colorScale" priority="11">
      <colorScale>
        <cfvo type="min"/>
        <cfvo type="num" val="0"/>
        <cfvo type="max"/>
        <color theme="5"/>
        <color rgb="FFFFEB84"/>
        <color theme="6"/>
      </colorScale>
    </cfRule>
  </conditionalFormatting>
  <conditionalFormatting sqref="M2:M7">
    <cfRule type="colorScale" priority="12">
      <colorScale>
        <cfvo type="min"/>
        <cfvo type="num" val="0"/>
        <cfvo type="max"/>
        <color theme="5"/>
        <color rgb="FFFFEB84"/>
        <color theme="6"/>
      </colorScale>
    </cfRule>
  </conditionalFormatting>
  <pageMargins left="0.7" right="0.7" top="0.78740157499999996" bottom="0.78740157499999996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3DFD0-2CF5-7F4E-8C2C-74A396D2258E}">
  <dimension ref="A1:R79"/>
  <sheetViews>
    <sheetView topLeftCell="B1" zoomScale="90" zoomScaleNormal="90" workbookViewId="0">
      <selection activeCell="O18" sqref="O18"/>
    </sheetView>
  </sheetViews>
  <sheetFormatPr baseColWidth="10" defaultRowHeight="15" x14ac:dyDescent="0.2"/>
  <cols>
    <col min="1" max="1" width="14" customWidth="1"/>
    <col min="2" max="2" width="34" bestFit="1" customWidth="1"/>
    <col min="3" max="3" width="19.6640625" customWidth="1"/>
    <col min="4" max="4" width="21.33203125" bestFit="1" customWidth="1"/>
    <col min="5" max="5" width="24.5" bestFit="1" customWidth="1"/>
    <col min="6" max="6" width="19.33203125" bestFit="1" customWidth="1"/>
    <col min="7" max="7" width="20" bestFit="1" customWidth="1"/>
    <col min="8" max="8" width="21.6640625" bestFit="1" customWidth="1"/>
    <col min="9" max="9" width="23.83203125" bestFit="1" customWidth="1"/>
    <col min="10" max="10" width="24.6640625" bestFit="1" customWidth="1"/>
    <col min="11" max="11" width="25.1640625" bestFit="1" customWidth="1"/>
    <col min="12" max="12" width="12.6640625" customWidth="1"/>
    <col min="14" max="14" width="25" customWidth="1"/>
    <col min="15" max="15" width="18.6640625" bestFit="1" customWidth="1"/>
    <col min="16" max="16" width="19" bestFit="1" customWidth="1"/>
    <col min="17" max="17" width="25.33203125" bestFit="1" customWidth="1"/>
    <col min="18" max="18" width="25" bestFit="1" customWidth="1"/>
  </cols>
  <sheetData>
    <row r="1" spans="1:18" x14ac:dyDescent="0.2">
      <c r="A1" s="1" t="s">
        <v>30</v>
      </c>
      <c r="B1" s="1" t="s">
        <v>31</v>
      </c>
      <c r="C1" s="1" t="s">
        <v>506</v>
      </c>
      <c r="D1" s="1" t="s">
        <v>667</v>
      </c>
      <c r="E1" s="1" t="s">
        <v>414</v>
      </c>
      <c r="F1" s="1" t="s">
        <v>503</v>
      </c>
      <c r="G1" s="1" t="s">
        <v>664</v>
      </c>
      <c r="H1" s="1" t="s">
        <v>666</v>
      </c>
      <c r="I1" s="1" t="s">
        <v>665</v>
      </c>
      <c r="J1" s="1" t="s">
        <v>673</v>
      </c>
      <c r="K1" s="1" t="s">
        <v>674</v>
      </c>
      <c r="L1" s="1" t="s">
        <v>687</v>
      </c>
      <c r="N1" s="104" t="s">
        <v>668</v>
      </c>
      <c r="O1" s="104"/>
      <c r="P1" s="104"/>
      <c r="Q1" s="104"/>
    </row>
    <row r="2" spans="1:18" x14ac:dyDescent="0.2">
      <c r="A2" t="s">
        <v>39</v>
      </c>
      <c r="B2" t="s">
        <v>40</v>
      </c>
      <c r="C2" s="103" t="str">
        <f>_xlfn.XLOOKUP(Table_Inv_Opt[[#This Row],[SKU_ID]],Tabelle8[SKU_ID],Tabelle8[ABC_XYZ],"-",0)</f>
        <v>AY</v>
      </c>
      <c r="D2">
        <f>_xlfn.XLOOKUP(Table_Inv_Opt[[#This Row],[SKU_ID]],Tabelle2[SKU_ID],Tabelle2[Lead_Time_days],"-",0)</f>
        <v>14</v>
      </c>
      <c r="E2" s="16">
        <f>_xlfn.XLOOKUP(Table_Inv_Opt[[#This Row],[SKU_ID]],Tabelle8[SKU_ID],Tabelle8[Avg_Monthly],"-",0)</f>
        <v>27.833333333333332</v>
      </c>
      <c r="F2" s="15">
        <f>_xlfn.XLOOKUP(Table_Inv_Opt[[#This Row],[SKU_ID]],Tabelle8[SKU_ID],Tabelle8[StdDev_Monthly],"-",0)</f>
        <v>8.2443736553905005</v>
      </c>
      <c r="G2">
        <f>IF(LEFT(Table_Inv_Opt[[#This Row],[ABC_XYZ]],1)="A",2.05,IF(LEFT(Table_Inv_Opt[[#This Row],[ABC_XYZ]],1)="B",1.65,1.28))</f>
        <v>2.0499999999999998</v>
      </c>
      <c r="H2">
        <f>ROUNDUP(Table_Inv_Opt[[#This Row],[Service_Level_Z]]*Table_Inv_Opt[[#This Row],[StdDev_Monthly]]*SQRT(Table_Inv_Opt[[#This Row],[Lead_Times_days]]/30),0)</f>
        <v>12</v>
      </c>
      <c r="I2">
        <f>ROUNDUP((Table_Inv_Opt[[#This Row],[Avg_Monthly_Demand]]/30*Table_Inv_Opt[[#This Row],[Lead_Times_days]])+Table_Inv_Opt[[#This Row],[New_Safety_Stock]],0)</f>
        <v>25</v>
      </c>
      <c r="J2">
        <f>_xlfn.XLOOKUP(Table_Inv_Opt[[#This Row],[SKU_ID]],Table_Order_History[SKU_ID],Table_Order_History[Total_2024],"-")</f>
        <v>334</v>
      </c>
      <c r="K2" s="4">
        <f>_xlfn.XLOOKUP(Table_Inv_Opt[[#This Row],[SKU_ID]],Tabelle2[SKU_ID],Tabelle2[Unit_Purchase_Cost_€],"-",0)</f>
        <v>42.5</v>
      </c>
      <c r="L2">
        <f>ROUND(SQRT((2*Table_Inv_Opt[[#This Row],[Annual_Demand_2024]]*22)/(0.18*Table_Inv_Opt[[#This Row],[Unit_Purchase_Cost_€]])),0)</f>
        <v>44</v>
      </c>
      <c r="N2" s="100" t="s">
        <v>669</v>
      </c>
      <c r="O2" s="100"/>
      <c r="P2" s="100"/>
    </row>
    <row r="3" spans="1:18" x14ac:dyDescent="0.2">
      <c r="A3" t="s">
        <v>43</v>
      </c>
      <c r="B3" t="s">
        <v>44</v>
      </c>
      <c r="C3" s="103" t="str">
        <f>_xlfn.XLOOKUP(Table_Inv_Opt[[#This Row],[SKU_ID]],Tabelle8[SKU_ID],Tabelle8[ABC_XYZ],"-",0)</f>
        <v>AY</v>
      </c>
      <c r="D3">
        <f>_xlfn.XLOOKUP(Table_Inv_Opt[[#This Row],[SKU_ID]],Tabelle2[SKU_ID],Tabelle2[Lead_Time_days],"-",0)</f>
        <v>14</v>
      </c>
      <c r="E3" s="16">
        <f>_xlfn.XLOOKUP(Table_Inv_Opt[[#This Row],[SKU_ID]],Tabelle8[SKU_ID],Tabelle8[Avg_Monthly],"-",0)</f>
        <v>18</v>
      </c>
      <c r="F3" s="15">
        <f>_xlfn.XLOOKUP(Table_Inv_Opt[[#This Row],[SKU_ID]],Tabelle8[SKU_ID],Tabelle8[StdDev_Monthly],"-",0)</f>
        <v>6.7149764773161413</v>
      </c>
      <c r="G3">
        <f>IF(LEFT(Table_Inv_Opt[[#This Row],[ABC_XYZ]],1)="A",2.05,IF(LEFT(Table_Inv_Opt[[#This Row],[ABC_XYZ]],1)="B",1.65,1.28))</f>
        <v>2.0499999999999998</v>
      </c>
      <c r="H3">
        <f>ROUNDUP(Table_Inv_Opt[[#This Row],[Service_Level_Z]]*Table_Inv_Opt[[#This Row],[StdDev_Monthly]]*SQRT(Table_Inv_Opt[[#This Row],[Lead_Times_days]]/30),0)</f>
        <v>10</v>
      </c>
      <c r="I3">
        <f>ROUNDUP((Table_Inv_Opt[[#This Row],[Avg_Monthly_Demand]]/30*Table_Inv_Opt[[#This Row],[Lead_Times_days]])+Table_Inv_Opt[[#This Row],[New_Safety_Stock]],0)</f>
        <v>19</v>
      </c>
      <c r="J3">
        <f>_xlfn.XLOOKUP(Table_Inv_Opt[[#This Row],[SKU_ID]],Table_Order_History[SKU_ID],Table_Order_History[Total_2024],"-")</f>
        <v>216</v>
      </c>
      <c r="K3" s="4">
        <f>_xlfn.XLOOKUP(Table_Inv_Opt[[#This Row],[SKU_ID]],Tabelle2[SKU_ID],Tabelle2[Unit_Purchase_Cost_€],"-",0)</f>
        <v>28</v>
      </c>
      <c r="L3">
        <f>ROUND(SQRT((2*Table_Inv_Opt[[#This Row],[Annual_Demand_2024]]*22)/(0.18*Table_Inv_Opt[[#This Row],[Unit_Purchase_Cost_€]])),0)</f>
        <v>43</v>
      </c>
      <c r="N3" s="100" t="s">
        <v>670</v>
      </c>
      <c r="O3" s="100"/>
      <c r="P3" s="100"/>
    </row>
    <row r="4" spans="1:18" x14ac:dyDescent="0.2">
      <c r="A4" t="s">
        <v>45</v>
      </c>
      <c r="B4" t="s">
        <v>46</v>
      </c>
      <c r="C4" s="103" t="str">
        <f>_xlfn.XLOOKUP(Table_Inv_Opt[[#This Row],[SKU_ID]],Tabelle8[SKU_ID],Tabelle8[ABC_XYZ],"-",0)</f>
        <v>AY</v>
      </c>
      <c r="D4">
        <f>_xlfn.XLOOKUP(Table_Inv_Opt[[#This Row],[SKU_ID]],Tabelle2[SKU_ID],Tabelle2[Lead_Time_days],"-",0)</f>
        <v>18</v>
      </c>
      <c r="E4" s="16">
        <f>_xlfn.XLOOKUP(Table_Inv_Opt[[#This Row],[SKU_ID]],Tabelle8[SKU_ID],Tabelle8[Avg_Monthly],"-",0)</f>
        <v>14.166666666666666</v>
      </c>
      <c r="F4" s="15">
        <f>_xlfn.XLOOKUP(Table_Inv_Opt[[#This Row],[SKU_ID]],Tabelle8[SKU_ID],Tabelle8[StdDev_Monthly],"-",0)</f>
        <v>6.7532259406938691</v>
      </c>
      <c r="G4">
        <f>IF(LEFT(Table_Inv_Opt[[#This Row],[ABC_XYZ]],1)="A",2.05,IF(LEFT(Table_Inv_Opt[[#This Row],[ABC_XYZ]],1)="B",1.65,1.28))</f>
        <v>2.0499999999999998</v>
      </c>
      <c r="H4">
        <f>ROUNDUP(Table_Inv_Opt[[#This Row],[Service_Level_Z]]*Table_Inv_Opt[[#This Row],[StdDev_Monthly]]*SQRT(Table_Inv_Opt[[#This Row],[Lead_Times_days]]/30),0)</f>
        <v>11</v>
      </c>
      <c r="I4">
        <f>ROUNDUP((Table_Inv_Opt[[#This Row],[Avg_Monthly_Demand]]/30*Table_Inv_Opt[[#This Row],[Lead_Times_days]])+Table_Inv_Opt[[#This Row],[New_Safety_Stock]],0)</f>
        <v>20</v>
      </c>
      <c r="J4">
        <f>_xlfn.XLOOKUP(Table_Inv_Opt[[#This Row],[SKU_ID]],Table_Order_History[SKU_ID],Table_Order_History[Total_2024],"-")</f>
        <v>170</v>
      </c>
      <c r="K4" s="4">
        <f>_xlfn.XLOOKUP(Table_Inv_Opt[[#This Row],[SKU_ID]],Tabelle2[SKU_ID],Tabelle2[Unit_Purchase_Cost_€],"-",0)</f>
        <v>54</v>
      </c>
      <c r="L4">
        <f>ROUND(SQRT((2*Table_Inv_Opt[[#This Row],[Annual_Demand_2024]]*22)/(0.18*Table_Inv_Opt[[#This Row],[Unit_Purchase_Cost_€]])),0)</f>
        <v>28</v>
      </c>
      <c r="N4" s="100" t="s">
        <v>671</v>
      </c>
      <c r="O4" s="100"/>
      <c r="P4" s="100"/>
      <c r="Q4" s="34"/>
      <c r="R4" s="34"/>
    </row>
    <row r="5" spans="1:18" x14ac:dyDescent="0.2">
      <c r="A5" t="s">
        <v>48</v>
      </c>
      <c r="B5" t="s">
        <v>49</v>
      </c>
      <c r="C5" s="103" t="str">
        <f>_xlfn.XLOOKUP(Table_Inv_Opt[[#This Row],[SKU_ID]],Tabelle8[SKU_ID],Tabelle8[ABC_XYZ],"-",0)</f>
        <v>AX</v>
      </c>
      <c r="D5">
        <f>_xlfn.XLOOKUP(Table_Inv_Opt[[#This Row],[SKU_ID]],Tabelle2[SKU_ID],Tabelle2[Lead_Time_days],"-",0)</f>
        <v>10</v>
      </c>
      <c r="E5" s="16">
        <f>_xlfn.XLOOKUP(Table_Inv_Opt[[#This Row],[SKU_ID]],Tabelle8[SKU_ID],Tabelle8[Avg_Monthly],"-",0)</f>
        <v>42.666666666666664</v>
      </c>
      <c r="F5" s="15">
        <f>_xlfn.XLOOKUP(Table_Inv_Opt[[#This Row],[SKU_ID]],Tabelle8[SKU_ID],Tabelle8[StdDev_Monthly],"-",0)</f>
        <v>10.102504939895164</v>
      </c>
      <c r="G5">
        <f>IF(LEFT(Table_Inv_Opt[[#This Row],[ABC_XYZ]],1)="A",2.05,IF(LEFT(Table_Inv_Opt[[#This Row],[ABC_XYZ]],1)="B",1.65,1.28))</f>
        <v>2.0499999999999998</v>
      </c>
      <c r="H5">
        <f>ROUNDUP(Table_Inv_Opt[[#This Row],[Service_Level_Z]]*Table_Inv_Opt[[#This Row],[StdDev_Monthly]]*SQRT(Table_Inv_Opt[[#This Row],[Lead_Times_days]]/30),0)</f>
        <v>12</v>
      </c>
      <c r="I5">
        <f>ROUNDUP((Table_Inv_Opt[[#This Row],[Avg_Monthly_Demand]]/30*Table_Inv_Opt[[#This Row],[Lead_Times_days]])+Table_Inv_Opt[[#This Row],[New_Safety_Stock]],0)</f>
        <v>27</v>
      </c>
      <c r="J5">
        <f>_xlfn.XLOOKUP(Table_Inv_Opt[[#This Row],[SKU_ID]],Table_Order_History[SKU_ID],Table_Order_History[Total_2024],"-")</f>
        <v>512</v>
      </c>
      <c r="K5" s="4">
        <f>_xlfn.XLOOKUP(Table_Inv_Opt[[#This Row],[SKU_ID]],Tabelle2[SKU_ID],Tabelle2[Unit_Purchase_Cost_€],"-",0)</f>
        <v>18.5</v>
      </c>
      <c r="L5">
        <f>ROUND(SQRT((2*Table_Inv_Opt[[#This Row],[Annual_Demand_2024]]*22)/(0.18*Table_Inv_Opt[[#This Row],[Unit_Purchase_Cost_€]])),0)</f>
        <v>82</v>
      </c>
      <c r="N5" s="100" t="s">
        <v>672</v>
      </c>
      <c r="O5" s="100"/>
      <c r="P5" s="100"/>
      <c r="Q5" s="34"/>
      <c r="R5" s="34"/>
    </row>
    <row r="6" spans="1:18" x14ac:dyDescent="0.2">
      <c r="A6" t="s">
        <v>51</v>
      </c>
      <c r="B6" t="s">
        <v>52</v>
      </c>
      <c r="C6" s="103" t="str">
        <f>_xlfn.XLOOKUP(Table_Inv_Opt[[#This Row],[SKU_ID]],Tabelle8[SKU_ID],Tabelle8[ABC_XYZ],"-",0)</f>
        <v>CY</v>
      </c>
      <c r="D6">
        <f>_xlfn.XLOOKUP(Table_Inv_Opt[[#This Row],[SKU_ID]],Tabelle2[SKU_ID],Tabelle2[Lead_Time_days],"-",0)</f>
        <v>14</v>
      </c>
      <c r="E6" s="16">
        <f>_xlfn.XLOOKUP(Table_Inv_Opt[[#This Row],[SKU_ID]],Tabelle8[SKU_ID],Tabelle8[Avg_Monthly],"-",0)</f>
        <v>12.5</v>
      </c>
      <c r="F6" s="15">
        <f>_xlfn.XLOOKUP(Table_Inv_Opt[[#This Row],[SKU_ID]],Tabelle8[SKU_ID],Tabelle8[StdDev_Monthly],"-",0)</f>
        <v>3.9427724440366254</v>
      </c>
      <c r="G6">
        <f>IF(LEFT(Table_Inv_Opt[[#This Row],[ABC_XYZ]],1)="A",2.05,IF(LEFT(Table_Inv_Opt[[#This Row],[ABC_XYZ]],1)="B",1.65,1.28))</f>
        <v>1.28</v>
      </c>
      <c r="H6">
        <f>ROUNDUP(Table_Inv_Opt[[#This Row],[Service_Level_Z]]*Table_Inv_Opt[[#This Row],[StdDev_Monthly]]*SQRT(Table_Inv_Opt[[#This Row],[Lead_Times_days]]/30),0)</f>
        <v>4</v>
      </c>
      <c r="I6">
        <f>ROUNDUP((Table_Inv_Opt[[#This Row],[Avg_Monthly_Demand]]/30*Table_Inv_Opt[[#This Row],[Lead_Times_days]])+Table_Inv_Opt[[#This Row],[New_Safety_Stock]],0)</f>
        <v>10</v>
      </c>
      <c r="J6">
        <f>_xlfn.XLOOKUP(Table_Inv_Opt[[#This Row],[SKU_ID]],Table_Order_History[SKU_ID],Table_Order_History[Total_2024],"-")</f>
        <v>150</v>
      </c>
      <c r="K6" s="4">
        <f>_xlfn.XLOOKUP(Table_Inv_Opt[[#This Row],[SKU_ID]],Tabelle2[SKU_ID],Tabelle2[Unit_Purchase_Cost_€],"-",0)</f>
        <v>22</v>
      </c>
      <c r="L6">
        <f>ROUND(SQRT((2*Table_Inv_Opt[[#This Row],[Annual_Demand_2024]]*22)/(0.18*Table_Inv_Opt[[#This Row],[Unit_Purchase_Cost_€]])),0)</f>
        <v>41</v>
      </c>
      <c r="N6" s="100" t="s">
        <v>694</v>
      </c>
      <c r="O6" s="100"/>
      <c r="P6" s="100"/>
    </row>
    <row r="7" spans="1:18" x14ac:dyDescent="0.2">
      <c r="A7" t="s">
        <v>53</v>
      </c>
      <c r="B7" t="s">
        <v>54</v>
      </c>
      <c r="C7" s="103" t="str">
        <f>_xlfn.XLOOKUP(Table_Inv_Opt[[#This Row],[SKU_ID]],Tabelle8[SKU_ID],Tabelle8[ABC_XYZ],"-",0)</f>
        <v>AY</v>
      </c>
      <c r="D7">
        <f>_xlfn.XLOOKUP(Table_Inv_Opt[[#This Row],[SKU_ID]],Tabelle2[SKU_ID],Tabelle2[Lead_Time_days],"-",0)</f>
        <v>21</v>
      </c>
      <c r="E7" s="16">
        <f>_xlfn.XLOOKUP(Table_Inv_Opt[[#This Row],[SKU_ID]],Tabelle8[SKU_ID],Tabelle8[Avg_Monthly],"-",0)</f>
        <v>4.333333333333333</v>
      </c>
      <c r="F7" s="15">
        <f>_xlfn.XLOOKUP(Table_Inv_Opt[[#This Row],[SKU_ID]],Tabelle8[SKU_ID],Tabelle8[StdDev_Monthly],"-",0)</f>
        <v>1.7752507291971888</v>
      </c>
      <c r="G7">
        <f>IF(LEFT(Table_Inv_Opt[[#This Row],[ABC_XYZ]],1)="A",2.05,IF(LEFT(Table_Inv_Opt[[#This Row],[ABC_XYZ]],1)="B",1.65,1.28))</f>
        <v>2.0499999999999998</v>
      </c>
      <c r="H7">
        <f>ROUNDUP(Table_Inv_Opt[[#This Row],[Service_Level_Z]]*Table_Inv_Opt[[#This Row],[StdDev_Monthly]]*SQRT(Table_Inv_Opt[[#This Row],[Lead_Times_days]]/30),0)</f>
        <v>4</v>
      </c>
      <c r="I7">
        <f>ROUNDUP((Table_Inv_Opt[[#This Row],[Avg_Monthly_Demand]]/30*Table_Inv_Opt[[#This Row],[Lead_Times_days]])+Table_Inv_Opt[[#This Row],[New_Safety_Stock]],0)</f>
        <v>8</v>
      </c>
      <c r="J7">
        <f>_xlfn.XLOOKUP(Table_Inv_Opt[[#This Row],[SKU_ID]],Table_Order_History[SKU_ID],Table_Order_History[Total_2024],"-")</f>
        <v>52</v>
      </c>
      <c r="K7" s="4">
        <f>_xlfn.XLOOKUP(Table_Inv_Opt[[#This Row],[SKU_ID]],Tabelle2[SKU_ID],Tabelle2[Unit_Purchase_Cost_€],"-",0)</f>
        <v>310</v>
      </c>
      <c r="L7">
        <f>ROUND(SQRT((2*Table_Inv_Opt[[#This Row],[Annual_Demand_2024]]*22)/(0.18*Table_Inv_Opt[[#This Row],[Unit_Purchase_Cost_€]])),0)</f>
        <v>6</v>
      </c>
      <c r="N7" s="100" t="s">
        <v>697</v>
      </c>
      <c r="O7" s="100"/>
      <c r="P7" s="100"/>
    </row>
    <row r="8" spans="1:18" x14ac:dyDescent="0.2">
      <c r="A8" t="s">
        <v>57</v>
      </c>
      <c r="B8" t="s">
        <v>58</v>
      </c>
      <c r="C8" s="103" t="str">
        <f>_xlfn.XLOOKUP(Table_Inv_Opt[[#This Row],[SKU_ID]],Tabelle8[SKU_ID],Tabelle8[ABC_XYZ],"-",0)</f>
        <v>AZ</v>
      </c>
      <c r="D8">
        <f>_xlfn.XLOOKUP(Table_Inv_Opt[[#This Row],[SKU_ID]],Tabelle2[SKU_ID],Tabelle2[Lead_Time_days],"-",0)</f>
        <v>21</v>
      </c>
      <c r="E8" s="16">
        <f>_xlfn.XLOOKUP(Table_Inv_Opt[[#This Row],[SKU_ID]],Tabelle8[SKU_ID],Tabelle8[Avg_Monthly],"-",0)</f>
        <v>1.6666666666666667</v>
      </c>
      <c r="F8" s="15">
        <f>_xlfn.XLOOKUP(Table_Inv_Opt[[#This Row],[SKU_ID]],Tabelle8[SKU_ID],Tabelle8[StdDev_Monthly],"-",0)</f>
        <v>1.1547005383792515</v>
      </c>
      <c r="G8">
        <f>IF(LEFT(Table_Inv_Opt[[#This Row],[ABC_XYZ]],1)="A",2.05,IF(LEFT(Table_Inv_Opt[[#This Row],[ABC_XYZ]],1)="B",1.65,1.28))</f>
        <v>2.0499999999999998</v>
      </c>
      <c r="H8">
        <f>ROUNDUP(Table_Inv_Opt[[#This Row],[Service_Level_Z]]*Table_Inv_Opt[[#This Row],[StdDev_Monthly]]*SQRT(Table_Inv_Opt[[#This Row],[Lead_Times_days]]/30),0)</f>
        <v>2</v>
      </c>
      <c r="I8">
        <f>ROUNDUP((Table_Inv_Opt[[#This Row],[Avg_Monthly_Demand]]/30*Table_Inv_Opt[[#This Row],[Lead_Times_days]])+Table_Inv_Opt[[#This Row],[New_Safety_Stock]],0)</f>
        <v>4</v>
      </c>
      <c r="J8">
        <f>_xlfn.XLOOKUP(Table_Inv_Opt[[#This Row],[SKU_ID]],Table_Order_History[SKU_ID],Table_Order_History[Total_2024],"-")</f>
        <v>20</v>
      </c>
      <c r="K8" s="4">
        <f>_xlfn.XLOOKUP(Table_Inv_Opt[[#This Row],[SKU_ID]],Tabelle2[SKU_ID],Tabelle2[Unit_Purchase_Cost_€],"-",0)</f>
        <v>580</v>
      </c>
      <c r="L8">
        <f>ROUND(SQRT((2*Table_Inv_Opt[[#This Row],[Annual_Demand_2024]]*22)/(0.18*Table_Inv_Opt[[#This Row],[Unit_Purchase_Cost_€]])),0)</f>
        <v>3</v>
      </c>
    </row>
    <row r="9" spans="1:18" x14ac:dyDescent="0.2">
      <c r="A9" t="s">
        <v>59</v>
      </c>
      <c r="B9" t="s">
        <v>60</v>
      </c>
      <c r="C9" s="103" t="str">
        <f>_xlfn.XLOOKUP(Table_Inv_Opt[[#This Row],[SKU_ID]],Tabelle8[SKU_ID],Tabelle8[ABC_XYZ],"-",0)</f>
        <v>AY</v>
      </c>
      <c r="D9">
        <f>_xlfn.XLOOKUP(Table_Inv_Opt[[#This Row],[SKU_ID]],Tabelle2[SKU_ID],Tabelle2[Lead_Time_days],"-",0)</f>
        <v>21</v>
      </c>
      <c r="E9" s="16">
        <f>_xlfn.XLOOKUP(Table_Inv_Opt[[#This Row],[SKU_ID]],Tabelle8[SKU_ID],Tabelle8[Avg_Monthly],"-",0)</f>
        <v>9.75</v>
      </c>
      <c r="F9" s="15">
        <f>_xlfn.XLOOKUP(Table_Inv_Opt[[#This Row],[SKU_ID]],Tabelle8[SKU_ID],Tabelle8[StdDev_Monthly],"-",0)</f>
        <v>3.0785179433085537</v>
      </c>
      <c r="G9">
        <f>IF(LEFT(Table_Inv_Opt[[#This Row],[ABC_XYZ]],1)="A",2.05,IF(LEFT(Table_Inv_Opt[[#This Row],[ABC_XYZ]],1)="B",1.65,1.28))</f>
        <v>2.0499999999999998</v>
      </c>
      <c r="H9">
        <f>ROUNDUP(Table_Inv_Opt[[#This Row],[Service_Level_Z]]*Table_Inv_Opt[[#This Row],[StdDev_Monthly]]*SQRT(Table_Inv_Opt[[#This Row],[Lead_Times_days]]/30),0)</f>
        <v>6</v>
      </c>
      <c r="I9">
        <f>ROUNDUP((Table_Inv_Opt[[#This Row],[Avg_Monthly_Demand]]/30*Table_Inv_Opt[[#This Row],[Lead_Times_days]])+Table_Inv_Opt[[#This Row],[New_Safety_Stock]],0)</f>
        <v>13</v>
      </c>
      <c r="J9">
        <f>_xlfn.XLOOKUP(Table_Inv_Opt[[#This Row],[SKU_ID]],Table_Order_History[SKU_ID],Table_Order_History[Total_2024],"-")</f>
        <v>117</v>
      </c>
      <c r="K9" s="4">
        <f>_xlfn.XLOOKUP(Table_Inv_Opt[[#This Row],[SKU_ID]],Tabelle2[SKU_ID],Tabelle2[Unit_Purchase_Cost_€],"-",0)</f>
        <v>65</v>
      </c>
      <c r="L9">
        <f>ROUND(SQRT((2*Table_Inv_Opt[[#This Row],[Annual_Demand_2024]]*22)/(0.18*Table_Inv_Opt[[#This Row],[Unit_Purchase_Cost_€]])),0)</f>
        <v>21</v>
      </c>
      <c r="N9" s="106" t="s">
        <v>686</v>
      </c>
      <c r="O9" s="106"/>
      <c r="P9" s="106"/>
    </row>
    <row r="10" spans="1:18" x14ac:dyDescent="0.2">
      <c r="A10" t="s">
        <v>61</v>
      </c>
      <c r="B10" t="s">
        <v>62</v>
      </c>
      <c r="C10" s="103" t="str">
        <f>_xlfn.XLOOKUP(Table_Inv_Opt[[#This Row],[SKU_ID]],Tabelle8[SKU_ID],Tabelle8[ABC_XYZ],"-",0)</f>
        <v>AY</v>
      </c>
      <c r="D10">
        <f>_xlfn.XLOOKUP(Table_Inv_Opt[[#This Row],[SKU_ID]],Tabelle2[SKU_ID],Tabelle2[Lead_Time_days],"-",0)</f>
        <v>12</v>
      </c>
      <c r="E10" s="16">
        <f>_xlfn.XLOOKUP(Table_Inv_Opt[[#This Row],[SKU_ID]],Tabelle8[SKU_ID],Tabelle8[Avg_Monthly],"-",0)</f>
        <v>15.333333333333334</v>
      </c>
      <c r="F10" s="15">
        <f>_xlfn.XLOOKUP(Table_Inv_Opt[[#This Row],[SKU_ID]],Tabelle8[SKU_ID],Tabelle8[StdDev_Monthly],"-",0)</f>
        <v>4.1633319989322635</v>
      </c>
      <c r="G10">
        <f>IF(LEFT(Table_Inv_Opt[[#This Row],[ABC_XYZ]],1)="A",2.05,IF(LEFT(Table_Inv_Opt[[#This Row],[ABC_XYZ]],1)="B",1.65,1.28))</f>
        <v>2.0499999999999998</v>
      </c>
      <c r="H10">
        <f>ROUNDUP(Table_Inv_Opt[[#This Row],[Service_Level_Z]]*Table_Inv_Opt[[#This Row],[StdDev_Monthly]]*SQRT(Table_Inv_Opt[[#This Row],[Lead_Times_days]]/30),0)</f>
        <v>6</v>
      </c>
      <c r="I10">
        <f>ROUNDUP((Table_Inv_Opt[[#This Row],[Avg_Monthly_Demand]]/30*Table_Inv_Opt[[#This Row],[Lead_Times_days]])+Table_Inv_Opt[[#This Row],[New_Safety_Stock]],0)</f>
        <v>13</v>
      </c>
      <c r="J10">
        <f>_xlfn.XLOOKUP(Table_Inv_Opt[[#This Row],[SKU_ID]],Table_Order_History[SKU_ID],Table_Order_History[Total_2024],"-")</f>
        <v>184</v>
      </c>
      <c r="K10" s="4">
        <f>_xlfn.XLOOKUP(Table_Inv_Opt[[#This Row],[SKU_ID]],Tabelle2[SKU_ID],Tabelle2[Unit_Purchase_Cost_€],"-",0)</f>
        <v>48</v>
      </c>
      <c r="L10">
        <f>ROUND(SQRT((2*Table_Inv_Opt[[#This Row],[Annual_Demand_2024]]*22)/(0.18*Table_Inv_Opt[[#This Row],[Unit_Purchase_Cost_€]])),0)</f>
        <v>31</v>
      </c>
    </row>
    <row r="11" spans="1:18" x14ac:dyDescent="0.2">
      <c r="A11" t="s">
        <v>64</v>
      </c>
      <c r="B11" t="s">
        <v>65</v>
      </c>
      <c r="C11" s="103" t="str">
        <f>_xlfn.XLOOKUP(Table_Inv_Opt[[#This Row],[SKU_ID]],Tabelle8[SKU_ID],Tabelle8[ABC_XYZ],"-",0)</f>
        <v>CY</v>
      </c>
      <c r="D11">
        <f>_xlfn.XLOOKUP(Table_Inv_Opt[[#This Row],[SKU_ID]],Tabelle2[SKU_ID],Tabelle2[Lead_Time_days],"-",0)</f>
        <v>10</v>
      </c>
      <c r="E11" s="16">
        <f>_xlfn.XLOOKUP(Table_Inv_Opt[[#This Row],[SKU_ID]],Tabelle8[SKU_ID],Tabelle8[Avg_Monthly],"-",0)</f>
        <v>10.916666666666666</v>
      </c>
      <c r="F11" s="15">
        <f>_xlfn.XLOOKUP(Table_Inv_Opt[[#This Row],[SKU_ID]],Tabelle8[SKU_ID],Tabelle8[StdDev_Monthly],"-",0)</f>
        <v>3.315482505220658</v>
      </c>
      <c r="G11">
        <f>IF(LEFT(Table_Inv_Opt[[#This Row],[ABC_XYZ]],1)="A",2.05,IF(LEFT(Table_Inv_Opt[[#This Row],[ABC_XYZ]],1)="B",1.65,1.28))</f>
        <v>1.28</v>
      </c>
      <c r="H11">
        <f>ROUNDUP(Table_Inv_Opt[[#This Row],[Service_Level_Z]]*Table_Inv_Opt[[#This Row],[StdDev_Monthly]]*SQRT(Table_Inv_Opt[[#This Row],[Lead_Times_days]]/30),0)</f>
        <v>3</v>
      </c>
      <c r="I11">
        <f>ROUNDUP((Table_Inv_Opt[[#This Row],[Avg_Monthly_Demand]]/30*Table_Inv_Opt[[#This Row],[Lead_Times_days]])+Table_Inv_Opt[[#This Row],[New_Safety_Stock]],0)</f>
        <v>7</v>
      </c>
      <c r="J11">
        <f>_xlfn.XLOOKUP(Table_Inv_Opt[[#This Row],[SKU_ID]],Table_Order_History[SKU_ID],Table_Order_History[Total_2024],"-")</f>
        <v>131</v>
      </c>
      <c r="K11" s="4">
        <f>_xlfn.XLOOKUP(Table_Inv_Opt[[#This Row],[SKU_ID]],Tabelle2[SKU_ID],Tabelle2[Unit_Purchase_Cost_€],"-",0)</f>
        <v>19</v>
      </c>
      <c r="L11">
        <f>ROUND(SQRT((2*Table_Inv_Opt[[#This Row],[Annual_Demand_2024]]*22)/(0.18*Table_Inv_Opt[[#This Row],[Unit_Purchase_Cost_€]])),0)</f>
        <v>41</v>
      </c>
      <c r="N11" s="1" t="s">
        <v>30</v>
      </c>
      <c r="O11" s="1" t="s">
        <v>684</v>
      </c>
      <c r="P11" s="1" t="s">
        <v>685</v>
      </c>
      <c r="Q11" s="1" t="s">
        <v>683</v>
      </c>
      <c r="R11" s="1" t="s">
        <v>682</v>
      </c>
    </row>
    <row r="12" spans="1:18" x14ac:dyDescent="0.2">
      <c r="A12" t="s">
        <v>67</v>
      </c>
      <c r="B12" t="s">
        <v>68</v>
      </c>
      <c r="C12" s="103" t="str">
        <f>_xlfn.XLOOKUP(Table_Inv_Opt[[#This Row],[SKU_ID]],Tabelle8[SKU_ID],Tabelle8[ABC_XYZ],"-",0)</f>
        <v>AY</v>
      </c>
      <c r="D12">
        <f>_xlfn.XLOOKUP(Table_Inv_Opt[[#This Row],[SKU_ID]],Tabelle2[SKU_ID],Tabelle2[Lead_Time_days],"-",0)</f>
        <v>16</v>
      </c>
      <c r="E12" s="16">
        <f>_xlfn.XLOOKUP(Table_Inv_Opt[[#This Row],[SKU_ID]],Tabelle8[SKU_ID],Tabelle8[Avg_Monthly],"-",0)</f>
        <v>8.1666666666666661</v>
      </c>
      <c r="F12" s="15">
        <f>_xlfn.XLOOKUP(Table_Inv_Opt[[#This Row],[SKU_ID]],Tabelle8[SKU_ID],Tabelle8[StdDev_Monthly],"-",0)</f>
        <v>2.443296332763786</v>
      </c>
      <c r="G12">
        <f>IF(LEFT(Table_Inv_Opt[[#This Row],[ABC_XYZ]],1)="A",2.05,IF(LEFT(Table_Inv_Opt[[#This Row],[ABC_XYZ]],1)="B",1.65,1.28))</f>
        <v>2.0499999999999998</v>
      </c>
      <c r="H12">
        <f>ROUNDUP(Table_Inv_Opt[[#This Row],[Service_Level_Z]]*Table_Inv_Opt[[#This Row],[StdDev_Monthly]]*SQRT(Table_Inv_Opt[[#This Row],[Lead_Times_days]]/30),0)</f>
        <v>4</v>
      </c>
      <c r="I12">
        <f>ROUNDUP((Table_Inv_Opt[[#This Row],[Avg_Monthly_Demand]]/30*Table_Inv_Opt[[#This Row],[Lead_Times_days]])+Table_Inv_Opt[[#This Row],[New_Safety_Stock]],0)</f>
        <v>9</v>
      </c>
      <c r="J12">
        <f>_xlfn.XLOOKUP(Table_Inv_Opt[[#This Row],[SKU_ID]],Table_Order_History[SKU_ID],Table_Order_History[Total_2024],"-")</f>
        <v>98</v>
      </c>
      <c r="K12" s="4">
        <f>_xlfn.XLOOKUP(Table_Inv_Opt[[#This Row],[SKU_ID]],Tabelle2[SKU_ID],Tabelle2[Unit_Purchase_Cost_€],"-",0)</f>
        <v>95</v>
      </c>
      <c r="L12">
        <f>ROUND(SQRT((2*Table_Inv_Opt[[#This Row],[Annual_Demand_2024]]*22)/(0.18*Table_Inv_Opt[[#This Row],[Unit_Purchase_Cost_€]])),0)</f>
        <v>16</v>
      </c>
      <c r="N12" t="s">
        <v>79</v>
      </c>
      <c r="O12">
        <v>31.14</v>
      </c>
      <c r="P12">
        <v>14.2</v>
      </c>
      <c r="Q12">
        <f>ROUNDUP((Tabelle22[[#This Row],[New_HiSe_Avg]]/30*D16)+H16,0)</f>
        <v>23</v>
      </c>
      <c r="R12">
        <f>ROUNDUP((Tabelle22[[#This Row],[New_LoSe_Avg]]/30*D16)+H16,0)</f>
        <v>17</v>
      </c>
    </row>
    <row r="13" spans="1:18" x14ac:dyDescent="0.2">
      <c r="A13" t="s">
        <v>71</v>
      </c>
      <c r="B13" t="s">
        <v>72</v>
      </c>
      <c r="C13" s="103" t="str">
        <f>_xlfn.XLOOKUP(Table_Inv_Opt[[#This Row],[SKU_ID]],Tabelle8[SKU_ID],Tabelle8[ABC_XYZ],"-",0)</f>
        <v>AY</v>
      </c>
      <c r="D13">
        <f>_xlfn.XLOOKUP(Table_Inv_Opt[[#This Row],[SKU_ID]],Tabelle2[SKU_ID],Tabelle2[Lead_Time_days],"-",0)</f>
        <v>12</v>
      </c>
      <c r="E13" s="16">
        <f>_xlfn.XLOOKUP(Table_Inv_Opt[[#This Row],[SKU_ID]],Tabelle8[SKU_ID],Tabelle8[Avg_Monthly],"-",0)</f>
        <v>18.833333333333332</v>
      </c>
      <c r="F13" s="15">
        <f>_xlfn.XLOOKUP(Table_Inv_Opt[[#This Row],[SKU_ID]],Tabelle8[SKU_ID],Tabelle8[StdDev_Monthly],"-",0)</f>
        <v>5.2019809746486088</v>
      </c>
      <c r="G13">
        <f>IF(LEFT(Table_Inv_Opt[[#This Row],[ABC_XYZ]],1)="A",2.05,IF(LEFT(Table_Inv_Opt[[#This Row],[ABC_XYZ]],1)="B",1.65,1.28))</f>
        <v>2.0499999999999998</v>
      </c>
      <c r="H13">
        <f>ROUNDUP(Table_Inv_Opt[[#This Row],[Service_Level_Z]]*Table_Inv_Opt[[#This Row],[StdDev_Monthly]]*SQRT(Table_Inv_Opt[[#This Row],[Lead_Times_days]]/30),0)</f>
        <v>7</v>
      </c>
      <c r="I13">
        <f>ROUNDUP((Table_Inv_Opt[[#This Row],[Avg_Monthly_Demand]]/30*Table_Inv_Opt[[#This Row],[Lead_Times_days]])+Table_Inv_Opt[[#This Row],[New_Safety_Stock]],0)</f>
        <v>15</v>
      </c>
      <c r="J13">
        <f>_xlfn.XLOOKUP(Table_Inv_Opt[[#This Row],[SKU_ID]],Table_Order_History[SKU_ID],Table_Order_History[Total_2024],"-")</f>
        <v>226</v>
      </c>
      <c r="K13" s="4">
        <f>_xlfn.XLOOKUP(Table_Inv_Opt[[#This Row],[SKU_ID]],Tabelle2[SKU_ID],Tabelle2[Unit_Purchase_Cost_€],"-",0)</f>
        <v>38</v>
      </c>
      <c r="L13">
        <f>ROUND(SQRT((2*Table_Inv_Opt[[#This Row],[Annual_Demand_2024]]*22)/(0.18*Table_Inv_Opt[[#This Row],[Unit_Purchase_Cost_€]])),0)</f>
        <v>38</v>
      </c>
      <c r="N13" t="s">
        <v>83</v>
      </c>
      <c r="O13">
        <v>25.29</v>
      </c>
      <c r="P13">
        <v>12.6</v>
      </c>
      <c r="Q13">
        <f>ROUNDUP((Tabelle22[[#This Row],[New_HiSe_Avg]]/30*D17)+H17,0)</f>
        <v>19</v>
      </c>
      <c r="R13">
        <f>ROUNDUP((Tabelle22[[#This Row],[New_LoSe_Avg]]/30*D17)+H17,0)</f>
        <v>15</v>
      </c>
    </row>
    <row r="14" spans="1:18" x14ac:dyDescent="0.2">
      <c r="A14" t="s">
        <v>74</v>
      </c>
      <c r="B14" t="s">
        <v>75</v>
      </c>
      <c r="C14" s="103" t="str">
        <f>_xlfn.XLOOKUP(Table_Inv_Opt[[#This Row],[SKU_ID]],Tabelle8[SKU_ID],Tabelle8[ABC_XYZ],"-",0)</f>
        <v>AX</v>
      </c>
      <c r="D14">
        <f>_xlfn.XLOOKUP(Table_Inv_Opt[[#This Row],[SKU_ID]],Tabelle2[SKU_ID],Tabelle2[Lead_Time_days],"-",0)</f>
        <v>14</v>
      </c>
      <c r="E14" s="16">
        <f>_xlfn.XLOOKUP(Table_Inv_Opt[[#This Row],[SKU_ID]],Tabelle8[SKU_ID],Tabelle8[Avg_Monthly],"-",0)</f>
        <v>22.083333333333332</v>
      </c>
      <c r="F14" s="15">
        <f>_xlfn.XLOOKUP(Table_Inv_Opt[[#This Row],[SKU_ID]],Tabelle8[SKU_ID],Tabelle8[StdDev_Monthly],"-",0)</f>
        <v>5.0714590572829232</v>
      </c>
      <c r="G14">
        <f>IF(LEFT(Table_Inv_Opt[[#This Row],[ABC_XYZ]],1)="A",2.05,IF(LEFT(Table_Inv_Opt[[#This Row],[ABC_XYZ]],1)="B",1.65,1.28))</f>
        <v>2.0499999999999998</v>
      </c>
      <c r="H14">
        <f>ROUNDUP(Table_Inv_Opt[[#This Row],[Service_Level_Z]]*Table_Inv_Opt[[#This Row],[StdDev_Monthly]]*SQRT(Table_Inv_Opt[[#This Row],[Lead_Times_days]]/30),0)</f>
        <v>8</v>
      </c>
      <c r="I14">
        <f>ROUNDUP((Table_Inv_Opt[[#This Row],[Avg_Monthly_Demand]]/30*Table_Inv_Opt[[#This Row],[Lead_Times_days]])+Table_Inv_Opt[[#This Row],[New_Safety_Stock]],0)</f>
        <v>19</v>
      </c>
      <c r="J14">
        <f>_xlfn.XLOOKUP(Table_Inv_Opt[[#This Row],[SKU_ID]],Table_Order_History[SKU_ID],Table_Order_History[Total_2024],"-")</f>
        <v>265</v>
      </c>
      <c r="K14" s="4">
        <f>_xlfn.XLOOKUP(Table_Inv_Opt[[#This Row],[SKU_ID]],Tabelle2[SKU_ID],Tabelle2[Unit_Purchase_Cost_€],"-",0)</f>
        <v>22</v>
      </c>
      <c r="L14">
        <f>ROUND(SQRT((2*Table_Inv_Opt[[#This Row],[Annual_Demand_2024]]*22)/(0.18*Table_Inv_Opt[[#This Row],[Unit_Purchase_Cost_€]])),0)</f>
        <v>54</v>
      </c>
    </row>
    <row r="15" spans="1:18" x14ac:dyDescent="0.2">
      <c r="A15" t="s">
        <v>76</v>
      </c>
      <c r="B15" t="s">
        <v>77</v>
      </c>
      <c r="C15" s="103" t="str">
        <f>_xlfn.XLOOKUP(Table_Inv_Opt[[#This Row],[SKU_ID]],Tabelle8[SKU_ID],Tabelle8[ABC_XYZ],"-",0)</f>
        <v>AX</v>
      </c>
      <c r="D15">
        <f>_xlfn.XLOOKUP(Table_Inv_Opt[[#This Row],[SKU_ID]],Tabelle2[SKU_ID],Tabelle2[Lead_Time_days],"-",0)</f>
        <v>7</v>
      </c>
      <c r="E15" s="16">
        <f>_xlfn.XLOOKUP(Table_Inv_Opt[[#This Row],[SKU_ID]],Tabelle8[SKU_ID],Tabelle8[Avg_Monthly],"-",0)</f>
        <v>58.25</v>
      </c>
      <c r="F15" s="15">
        <f>_xlfn.XLOOKUP(Table_Inv_Opt[[#This Row],[SKU_ID]],Tabelle8[SKU_ID],Tabelle8[StdDev_Monthly],"-",0)</f>
        <v>9.5738754383525855</v>
      </c>
      <c r="G15">
        <f>IF(LEFT(Table_Inv_Opt[[#This Row],[ABC_XYZ]],1)="A",2.05,IF(LEFT(Table_Inv_Opt[[#This Row],[ABC_XYZ]],1)="B",1.65,1.28))</f>
        <v>2.0499999999999998</v>
      </c>
      <c r="H15">
        <f>ROUNDUP(Table_Inv_Opt[[#This Row],[Service_Level_Z]]*Table_Inv_Opt[[#This Row],[StdDev_Monthly]]*SQRT(Table_Inv_Opt[[#This Row],[Lead_Times_days]]/30),0)</f>
        <v>10</v>
      </c>
      <c r="I15">
        <f>ROUNDUP((Table_Inv_Opt[[#This Row],[Avg_Monthly_Demand]]/30*Table_Inv_Opt[[#This Row],[Lead_Times_days]])+Table_Inv_Opt[[#This Row],[New_Safety_Stock]],0)</f>
        <v>24</v>
      </c>
      <c r="J15">
        <f>_xlfn.XLOOKUP(Table_Inv_Opt[[#This Row],[SKU_ID]],Table_Order_History[SKU_ID],Table_Order_History[Total_2024],"-")</f>
        <v>699</v>
      </c>
      <c r="K15" s="4">
        <f>_xlfn.XLOOKUP(Table_Inv_Opt[[#This Row],[SKU_ID]],Tabelle2[SKU_ID],Tabelle2[Unit_Purchase_Cost_€],"-",0)</f>
        <v>8.5</v>
      </c>
      <c r="L15">
        <f>ROUND(SQRT((2*Table_Inv_Opt[[#This Row],[Annual_Demand_2024]]*22)/(0.18*Table_Inv_Opt[[#This Row],[Unit_Purchase_Cost_€]])),0)</f>
        <v>142</v>
      </c>
    </row>
    <row r="16" spans="1:18" x14ac:dyDescent="0.2">
      <c r="A16" t="s">
        <v>79</v>
      </c>
      <c r="B16" t="s">
        <v>80</v>
      </c>
      <c r="C16" s="103" t="str">
        <f>_xlfn.XLOOKUP(Table_Inv_Opt[[#This Row],[SKU_ID]],Tabelle8[SKU_ID],Tabelle8[ABC_XYZ],"-",0)</f>
        <v>AY</v>
      </c>
      <c r="D16">
        <f>_xlfn.XLOOKUP(Table_Inv_Opt[[#This Row],[SKU_ID]],Tabelle2[SKU_ID],Tabelle2[Lead_Time_days],"-",0)</f>
        <v>10</v>
      </c>
      <c r="E16" s="16">
        <f>_xlfn.XLOOKUP(Table_Inv_Opt[[#This Row],[SKU_ID]],Tabelle8[SKU_ID],Tabelle8[Avg_Monthly],"-",0)</f>
        <v>24.083333333333332</v>
      </c>
      <c r="F16" s="15">
        <f>_xlfn.XLOOKUP(Table_Inv_Opt[[#This Row],[SKU_ID]],Tabelle8[SKU_ID],Tabelle8[StdDev_Monthly],"-",0)</f>
        <v>10.067574713209762</v>
      </c>
      <c r="G16">
        <f>IF(LEFT(Table_Inv_Opt[[#This Row],[ABC_XYZ]],1)="A",2.05,IF(LEFT(Table_Inv_Opt[[#This Row],[ABC_XYZ]],1)="B",1.65,1.28))</f>
        <v>2.0499999999999998</v>
      </c>
      <c r="H16">
        <f>ROUNDUP(Table_Inv_Opt[[#This Row],[Service_Level_Z]]*Table_Inv_Opt[[#This Row],[StdDev_Monthly]]*SQRT(Table_Inv_Opt[[#This Row],[Lead_Times_days]]/30),0)</f>
        <v>12</v>
      </c>
      <c r="I16">
        <f>ROUNDUP((Table_Inv_Opt[[#This Row],[Avg_Monthly_Demand]]/30*Table_Inv_Opt[[#This Row],[Lead_Times_days]])+Table_Inv_Opt[[#This Row],[New_Safety_Stock]],0)</f>
        <v>21</v>
      </c>
      <c r="J16">
        <f>_xlfn.XLOOKUP(Table_Inv_Opt[[#This Row],[SKU_ID]],Table_Order_History[SKU_ID],Table_Order_History[Total_2024],"-")</f>
        <v>289</v>
      </c>
      <c r="K16" s="4">
        <f>_xlfn.XLOOKUP(Table_Inv_Opt[[#This Row],[SKU_ID]],Tabelle2[SKU_ID],Tabelle2[Unit_Purchase_Cost_€],"-",0)</f>
        <v>32</v>
      </c>
      <c r="L16">
        <f>ROUND(SQRT((2*Table_Inv_Opt[[#This Row],[Annual_Demand_2024]]*22)/(0.18*Table_Inv_Opt[[#This Row],[Unit_Purchase_Cost_€]])),0)</f>
        <v>47</v>
      </c>
    </row>
    <row r="17" spans="1:17" x14ac:dyDescent="0.2">
      <c r="A17" t="s">
        <v>83</v>
      </c>
      <c r="B17" t="s">
        <v>84</v>
      </c>
      <c r="C17" s="103" t="str">
        <f>_xlfn.XLOOKUP(Table_Inv_Opt[[#This Row],[SKU_ID]],Tabelle8[SKU_ID],Tabelle8[ABC_XYZ],"-",0)</f>
        <v>AY</v>
      </c>
      <c r="D17">
        <f>_xlfn.XLOOKUP(Table_Inv_Opt[[#This Row],[SKU_ID]],Tabelle2[SKU_ID],Tabelle2[Lead_Time_days],"-",0)</f>
        <v>10</v>
      </c>
      <c r="E17" s="16">
        <f>_xlfn.XLOOKUP(Table_Inv_Opt[[#This Row],[SKU_ID]],Tabelle8[SKU_ID],Tabelle8[Avg_Monthly],"-",0)</f>
        <v>20</v>
      </c>
      <c r="F17" s="15">
        <f>_xlfn.XLOOKUP(Table_Inv_Opt[[#This Row],[SKU_ID]],Tabelle8[SKU_ID],Tabelle8[StdDev_Monthly],"-",0)</f>
        <v>8.1016272215131959</v>
      </c>
      <c r="G17">
        <f>IF(LEFT(Table_Inv_Opt[[#This Row],[ABC_XYZ]],1)="A",2.05,IF(LEFT(Table_Inv_Opt[[#This Row],[ABC_XYZ]],1)="B",1.65,1.28))</f>
        <v>2.0499999999999998</v>
      </c>
      <c r="H17">
        <f>ROUNDUP(Table_Inv_Opt[[#This Row],[Service_Level_Z]]*Table_Inv_Opt[[#This Row],[StdDev_Monthly]]*SQRT(Table_Inv_Opt[[#This Row],[Lead_Times_days]]/30),0)</f>
        <v>10</v>
      </c>
      <c r="I17">
        <f>ROUNDUP((Table_Inv_Opt[[#This Row],[Avg_Monthly_Demand]]/30*Table_Inv_Opt[[#This Row],[Lead_Times_days]])+Table_Inv_Opt[[#This Row],[New_Safety_Stock]],0)</f>
        <v>17</v>
      </c>
      <c r="J17">
        <f>_xlfn.XLOOKUP(Table_Inv_Opt[[#This Row],[SKU_ID]],Table_Order_History[SKU_ID],Table_Order_History[Total_2024],"-")</f>
        <v>240</v>
      </c>
      <c r="K17" s="4">
        <f>_xlfn.XLOOKUP(Table_Inv_Opt[[#This Row],[SKU_ID]],Tabelle2[SKU_ID],Tabelle2[Unit_Purchase_Cost_€],"-",0)</f>
        <v>38</v>
      </c>
      <c r="L17">
        <f>ROUND(SQRT((2*Table_Inv_Opt[[#This Row],[Annual_Demand_2024]]*22)/(0.18*Table_Inv_Opt[[#This Row],[Unit_Purchase_Cost_€]])),0)</f>
        <v>39</v>
      </c>
      <c r="N17" s="107" t="s">
        <v>695</v>
      </c>
      <c r="O17" s="108" t="s">
        <v>688</v>
      </c>
      <c r="P17" s="108" t="s">
        <v>689</v>
      </c>
      <c r="Q17" s="109" t="s">
        <v>690</v>
      </c>
    </row>
    <row r="18" spans="1:17" x14ac:dyDescent="0.2">
      <c r="A18" t="s">
        <v>85</v>
      </c>
      <c r="B18" t="s">
        <v>86</v>
      </c>
      <c r="C18" s="103" t="str">
        <f>_xlfn.XLOOKUP(Table_Inv_Opt[[#This Row],[SKU_ID]],Tabelle8[SKU_ID],Tabelle8[ABC_XYZ],"-",0)</f>
        <v>AZ</v>
      </c>
      <c r="D18">
        <f>_xlfn.XLOOKUP(Table_Inv_Opt[[#This Row],[SKU_ID]],Tabelle2[SKU_ID],Tabelle2[Lead_Time_days],"-",0)</f>
        <v>18</v>
      </c>
      <c r="E18" s="16">
        <f>_xlfn.XLOOKUP(Table_Inv_Opt[[#This Row],[SKU_ID]],Tabelle8[SKU_ID],Tabelle8[Avg_Monthly],"-",0)</f>
        <v>3.6666666666666665</v>
      </c>
      <c r="F18" s="15">
        <f>_xlfn.XLOOKUP(Table_Inv_Opt[[#This Row],[SKU_ID]],Tabelle8[SKU_ID],Tabelle8[StdDev_Monthly],"-",0)</f>
        <v>2.2292817160908509</v>
      </c>
      <c r="G18">
        <f>IF(LEFT(Table_Inv_Opt[[#This Row],[ABC_XYZ]],1)="A",2.05,IF(LEFT(Table_Inv_Opt[[#This Row],[ABC_XYZ]],1)="B",1.65,1.28))</f>
        <v>2.0499999999999998</v>
      </c>
      <c r="H18">
        <f>ROUNDUP(Table_Inv_Opt[[#This Row],[Service_Level_Z]]*Table_Inv_Opt[[#This Row],[StdDev_Monthly]]*SQRT(Table_Inv_Opt[[#This Row],[Lead_Times_days]]/30),0)</f>
        <v>4</v>
      </c>
      <c r="I18">
        <f>ROUNDUP((Table_Inv_Opt[[#This Row],[Avg_Monthly_Demand]]/30*Table_Inv_Opt[[#This Row],[Lead_Times_days]])+Table_Inv_Opt[[#This Row],[New_Safety_Stock]],0)</f>
        <v>7</v>
      </c>
      <c r="J18">
        <f>_xlfn.XLOOKUP(Table_Inv_Opt[[#This Row],[SKU_ID]],Table_Order_History[SKU_ID],Table_Order_History[Total_2024],"-")</f>
        <v>44</v>
      </c>
      <c r="K18" s="4">
        <f>_xlfn.XLOOKUP(Table_Inv_Opt[[#This Row],[SKU_ID]],Tabelle2[SKU_ID],Tabelle2[Unit_Purchase_Cost_€],"-",0)</f>
        <v>145</v>
      </c>
      <c r="L18">
        <f>ROUND(SQRT((2*Table_Inv_Opt[[#This Row],[Annual_Demand_2024]]*22)/(0.18*Table_Inv_Opt[[#This Row],[Unit_Purchase_Cost_€]])),0)</f>
        <v>9</v>
      </c>
      <c r="N18" s="110" t="s">
        <v>691</v>
      </c>
      <c r="O18" s="111" cm="1">
        <f t="array" ref="O18">SUMPRODUCT(Tabelle21[Old_Order_qty]/2+Tabelle21[Old_Safety_Stock],Table_Inv_Opt[Unit_Purchase_Cost_€])</f>
        <v>37505.75</v>
      </c>
      <c r="P18" s="111" cm="1">
        <f t="array" ref="P18">SUMPRODUCT(Table_Inv_Opt[EOQ]/2+Table_Inv_Opt[New_Safety_Stock],Table_Inv_Opt[Unit_Purchase_Cost_€])</f>
        <v>36709.25</v>
      </c>
      <c r="Q18" s="112">
        <f>O18-P18</f>
        <v>796.5</v>
      </c>
    </row>
    <row r="19" spans="1:17" ht="16" x14ac:dyDescent="0.2">
      <c r="A19" t="s">
        <v>88</v>
      </c>
      <c r="B19" t="s">
        <v>89</v>
      </c>
      <c r="C19" s="103" t="str">
        <f>_xlfn.XLOOKUP(Table_Inv_Opt[[#This Row],[SKU_ID]],Tabelle8[SKU_ID],Tabelle8[ABC_XYZ],"-",0)</f>
        <v>BZ</v>
      </c>
      <c r="D19">
        <f>_xlfn.XLOOKUP(Table_Inv_Opt[[#This Row],[SKU_ID]],Tabelle2[SKU_ID],Tabelle2[Lead_Time_days],"-",0)</f>
        <v>21</v>
      </c>
      <c r="E19" s="16">
        <f>_xlfn.XLOOKUP(Table_Inv_Opt[[#This Row],[SKU_ID]],Tabelle8[SKU_ID],Tabelle8[Avg_Monthly],"-",0)</f>
        <v>2.0833333333333335</v>
      </c>
      <c r="F19" s="15">
        <f>_xlfn.XLOOKUP(Table_Inv_Opt[[#This Row],[SKU_ID]],Tabelle8[SKU_ID],Tabelle8[StdDev_Monthly],"-",0)</f>
        <v>1.8319554050414562</v>
      </c>
      <c r="G19">
        <f>IF(LEFT(Table_Inv_Opt[[#This Row],[ABC_XYZ]],1)="A",2.05,IF(LEFT(Table_Inv_Opt[[#This Row],[ABC_XYZ]],1)="B",1.65,1.28))</f>
        <v>1.65</v>
      </c>
      <c r="H19">
        <f>ROUNDUP(Table_Inv_Opt[[#This Row],[Service_Level_Z]]*Table_Inv_Opt[[#This Row],[StdDev_Monthly]]*SQRT(Table_Inv_Opt[[#This Row],[Lead_Times_days]]/30),0)</f>
        <v>3</v>
      </c>
      <c r="I19">
        <f>ROUNDUP((Table_Inv_Opt[[#This Row],[Avg_Monthly_Demand]]/30*Table_Inv_Opt[[#This Row],[Lead_Times_days]])+Table_Inv_Opt[[#This Row],[New_Safety_Stock]],0)</f>
        <v>5</v>
      </c>
      <c r="J19">
        <f>_xlfn.XLOOKUP(Table_Inv_Opt[[#This Row],[SKU_ID]],Table_Order_History[SKU_ID],Table_Order_History[Total_2024],"-")</f>
        <v>25</v>
      </c>
      <c r="K19" s="4">
        <f>_xlfn.XLOOKUP(Table_Inv_Opt[[#This Row],[SKU_ID]],Tabelle2[SKU_ID],Tabelle2[Unit_Purchase_Cost_€],"-",0)</f>
        <v>175</v>
      </c>
      <c r="L19">
        <f>ROUND(SQRT((2*Table_Inv_Opt[[#This Row],[Annual_Demand_2024]]*22)/(0.18*Table_Inv_Opt[[#This Row],[Unit_Purchase_Cost_€]])),0)</f>
        <v>6</v>
      </c>
      <c r="N19" s="113" t="s">
        <v>692</v>
      </c>
      <c r="O19" s="114">
        <f>O18*0.18</f>
        <v>6751.0349999999999</v>
      </c>
      <c r="P19" s="114">
        <f>P18*0.18</f>
        <v>6607.665</v>
      </c>
      <c r="Q19" s="115">
        <f>O19-P19</f>
        <v>143.36999999999989</v>
      </c>
    </row>
    <row r="20" spans="1:17" ht="17" thickBot="1" x14ac:dyDescent="0.25">
      <c r="A20" t="s">
        <v>91</v>
      </c>
      <c r="B20" t="s">
        <v>92</v>
      </c>
      <c r="C20" s="103" t="str">
        <f>_xlfn.XLOOKUP(Table_Inv_Opt[[#This Row],[SKU_ID]],Tabelle8[SKU_ID],Tabelle8[ABC_XYZ],"-",0)</f>
        <v>BX</v>
      </c>
      <c r="D20">
        <f>_xlfn.XLOOKUP(Table_Inv_Opt[[#This Row],[SKU_ID]],Tabelle2[SKU_ID],Tabelle2[Lead_Time_days],"-",0)</f>
        <v>7</v>
      </c>
      <c r="E20" s="16">
        <f>_xlfn.XLOOKUP(Table_Inv_Opt[[#This Row],[SKU_ID]],Tabelle8[SKU_ID],Tabelle8[Avg_Monthly],"-",0)</f>
        <v>59.083333333333336</v>
      </c>
      <c r="F20" s="15">
        <f>_xlfn.XLOOKUP(Table_Inv_Opt[[#This Row],[SKU_ID]],Tabelle8[SKU_ID],Tabelle8[StdDev_Monthly],"-",0)</f>
        <v>8.9184011340530418</v>
      </c>
      <c r="G20">
        <f>IF(LEFT(Table_Inv_Opt[[#This Row],[ABC_XYZ]],1)="A",2.05,IF(LEFT(Table_Inv_Opt[[#This Row],[ABC_XYZ]],1)="B",1.65,1.28))</f>
        <v>1.65</v>
      </c>
      <c r="H20">
        <f>ROUNDUP(Table_Inv_Opt[[#This Row],[Service_Level_Z]]*Table_Inv_Opt[[#This Row],[StdDev_Monthly]]*SQRT(Table_Inv_Opt[[#This Row],[Lead_Times_days]]/30),0)</f>
        <v>8</v>
      </c>
      <c r="I20">
        <f>ROUNDUP((Table_Inv_Opt[[#This Row],[Avg_Monthly_Demand]]/30*Table_Inv_Opt[[#This Row],[Lead_Times_days]])+Table_Inv_Opt[[#This Row],[New_Safety_Stock]],0)</f>
        <v>22</v>
      </c>
      <c r="J20">
        <f>_xlfn.XLOOKUP(Table_Inv_Opt[[#This Row],[SKU_ID]],Table_Order_History[SKU_ID],Table_Order_History[Total_2024],"-")</f>
        <v>709</v>
      </c>
      <c r="K20" s="4">
        <f>_xlfn.XLOOKUP(Table_Inv_Opt[[#This Row],[SKU_ID]],Tabelle2[SKU_ID],Tabelle2[Unit_Purchase_Cost_€],"-",0)</f>
        <v>6</v>
      </c>
      <c r="L20">
        <f>ROUND(SQRT((2*Table_Inv_Opt[[#This Row],[Annual_Demand_2024]]*22)/(0.18*Table_Inv_Opt[[#This Row],[Unit_Purchase_Cost_€]])),0)</f>
        <v>170</v>
      </c>
      <c r="N20" s="116" t="s">
        <v>693</v>
      </c>
      <c r="O20" s="111" cm="1">
        <f t="array" ref="O20">SUMPRODUCT(ROUNDUP(Table_Inv_Opt[Annual_Demand_2024]/Tabelle21[Old_Order_qty],0))*22</f>
        <v>5852</v>
      </c>
      <c r="P20" s="111" cm="1">
        <f t="array" ref="P20">SUMPRODUCT(ROUNDUP(Table_Inv_Opt[Annual_Demand_2024]/Table_Inv_Opt[EOQ],0))*22</f>
        <v>4664</v>
      </c>
      <c r="Q20" s="112">
        <f>O20-P20</f>
        <v>1188</v>
      </c>
    </row>
    <row r="21" spans="1:17" ht="16" thickTop="1" x14ac:dyDescent="0.2">
      <c r="A21" t="s">
        <v>95</v>
      </c>
      <c r="B21" t="s">
        <v>96</v>
      </c>
      <c r="C21" s="103" t="str">
        <f>_xlfn.XLOOKUP(Table_Inv_Opt[[#This Row],[SKU_ID]],Tabelle8[SKU_ID],Tabelle8[ABC_XYZ],"-",0)</f>
        <v>BX</v>
      </c>
      <c r="D21">
        <f>_xlfn.XLOOKUP(Table_Inv_Opt[[#This Row],[SKU_ID]],Tabelle2[SKU_ID],Tabelle2[Lead_Time_days],"-",0)</f>
        <v>7</v>
      </c>
      <c r="E21" s="16">
        <f>_xlfn.XLOOKUP(Table_Inv_Opt[[#This Row],[SKU_ID]],Tabelle8[SKU_ID],Tabelle8[Avg_Monthly],"-",0)</f>
        <v>28.25</v>
      </c>
      <c r="F21" s="15">
        <f>_xlfn.XLOOKUP(Table_Inv_Opt[[#This Row],[SKU_ID]],Tabelle8[SKU_ID],Tabelle8[StdDev_Monthly],"-",0)</f>
        <v>4.1368631067073469</v>
      </c>
      <c r="G21">
        <f>IF(LEFT(Table_Inv_Opt[[#This Row],[ABC_XYZ]],1)="A",2.05,IF(LEFT(Table_Inv_Opt[[#This Row],[ABC_XYZ]],1)="B",1.65,1.28))</f>
        <v>1.65</v>
      </c>
      <c r="H21">
        <f>ROUNDUP(Table_Inv_Opt[[#This Row],[Service_Level_Z]]*Table_Inv_Opt[[#This Row],[StdDev_Monthly]]*SQRT(Table_Inv_Opt[[#This Row],[Lead_Times_days]]/30),0)</f>
        <v>4</v>
      </c>
      <c r="I21">
        <f>ROUNDUP((Table_Inv_Opt[[#This Row],[Avg_Monthly_Demand]]/30*Table_Inv_Opt[[#This Row],[Lead_Times_days]])+Table_Inv_Opt[[#This Row],[New_Safety_Stock]],0)</f>
        <v>11</v>
      </c>
      <c r="J21">
        <f>_xlfn.XLOOKUP(Table_Inv_Opt[[#This Row],[SKU_ID]],Table_Order_History[SKU_ID],Table_Order_History[Total_2024],"-")</f>
        <v>339</v>
      </c>
      <c r="K21" s="4">
        <f>_xlfn.XLOOKUP(Table_Inv_Opt[[#This Row],[SKU_ID]],Tabelle2[SKU_ID],Tabelle2[Unit_Purchase_Cost_€],"-",0)</f>
        <v>12</v>
      </c>
      <c r="L21">
        <f>ROUND(SQRT((2*Table_Inv_Opt[[#This Row],[Annual_Demand_2024]]*22)/(0.18*Table_Inv_Opt[[#This Row],[Unit_Purchase_Cost_€]])),0)</f>
        <v>83</v>
      </c>
      <c r="N21" s="117" t="s">
        <v>696</v>
      </c>
      <c r="O21" s="118">
        <f>SUM(O19:O20)</f>
        <v>12603.035</v>
      </c>
      <c r="P21" s="118">
        <f>SUM(P19:P20)</f>
        <v>11271.665000000001</v>
      </c>
      <c r="Q21" s="119">
        <f>SUM(Q19:Q20)</f>
        <v>1331.37</v>
      </c>
    </row>
    <row r="22" spans="1:17" x14ac:dyDescent="0.2">
      <c r="A22" t="s">
        <v>98</v>
      </c>
      <c r="B22" t="s">
        <v>99</v>
      </c>
      <c r="C22" s="103" t="str">
        <f>_xlfn.XLOOKUP(Table_Inv_Opt[[#This Row],[SKU_ID]],Tabelle8[SKU_ID],Tabelle8[ABC_XYZ],"-",0)</f>
        <v>CX</v>
      </c>
      <c r="D22">
        <f>_xlfn.XLOOKUP(Table_Inv_Opt[[#This Row],[SKU_ID]],Tabelle2[SKU_ID],Tabelle2[Lead_Time_days],"-",0)</f>
        <v>7</v>
      </c>
      <c r="E22" s="16">
        <f>_xlfn.XLOOKUP(Table_Inv_Opt[[#This Row],[SKU_ID]],Tabelle8[SKU_ID],Tabelle8[Avg_Monthly],"-",0)</f>
        <v>22</v>
      </c>
      <c r="F22" s="15">
        <f>_xlfn.XLOOKUP(Table_Inv_Opt[[#This Row],[SKU_ID]],Tabelle8[SKU_ID],Tabelle8[StdDev_Monthly],"-",0)</f>
        <v>4.3900714427816858</v>
      </c>
      <c r="G22">
        <f>IF(LEFT(Table_Inv_Opt[[#This Row],[ABC_XYZ]],1)="A",2.05,IF(LEFT(Table_Inv_Opt[[#This Row],[ABC_XYZ]],1)="B",1.65,1.28))</f>
        <v>1.28</v>
      </c>
      <c r="H22">
        <f>ROUNDUP(Table_Inv_Opt[[#This Row],[Service_Level_Z]]*Table_Inv_Opt[[#This Row],[StdDev_Monthly]]*SQRT(Table_Inv_Opt[[#This Row],[Lead_Times_days]]/30),0)</f>
        <v>3</v>
      </c>
      <c r="I22">
        <f>ROUNDUP((Table_Inv_Opt[[#This Row],[Avg_Monthly_Demand]]/30*Table_Inv_Opt[[#This Row],[Lead_Times_days]])+Table_Inv_Opt[[#This Row],[New_Safety_Stock]],0)</f>
        <v>9</v>
      </c>
      <c r="J22">
        <f>_xlfn.XLOOKUP(Table_Inv_Opt[[#This Row],[SKU_ID]],Table_Order_History[SKU_ID],Table_Order_History[Total_2024],"-")</f>
        <v>264</v>
      </c>
      <c r="K22" s="4">
        <f>_xlfn.XLOOKUP(Table_Inv_Opt[[#This Row],[SKU_ID]],Tabelle2[SKU_ID],Tabelle2[Unit_Purchase_Cost_€],"-",0)</f>
        <v>7.5</v>
      </c>
      <c r="L22">
        <f>ROUND(SQRT((2*Table_Inv_Opt[[#This Row],[Annual_Demand_2024]]*22)/(0.18*Table_Inv_Opt[[#This Row],[Unit_Purchase_Cost_€]])),0)</f>
        <v>93</v>
      </c>
    </row>
    <row r="23" spans="1:17" x14ac:dyDescent="0.2">
      <c r="A23" t="s">
        <v>101</v>
      </c>
      <c r="B23" t="s">
        <v>102</v>
      </c>
      <c r="C23" s="103" t="str">
        <f>_xlfn.XLOOKUP(Table_Inv_Opt[[#This Row],[SKU_ID]],Tabelle8[SKU_ID],Tabelle8[ABC_XYZ],"-",0)</f>
        <v>AZ</v>
      </c>
      <c r="D23">
        <f>_xlfn.XLOOKUP(Table_Inv_Opt[[#This Row],[SKU_ID]],Tabelle2[SKU_ID],Tabelle2[Lead_Time_days],"-",0)</f>
        <v>25</v>
      </c>
      <c r="E23" s="16">
        <f>_xlfn.XLOOKUP(Table_Inv_Opt[[#This Row],[SKU_ID]],Tabelle8[SKU_ID],Tabelle8[Avg_Monthly],"-",0)</f>
        <v>6.333333333333333</v>
      </c>
      <c r="F23" s="15">
        <f>_xlfn.XLOOKUP(Table_Inv_Opt[[#This Row],[SKU_ID]],Tabelle8[SKU_ID],Tabelle8[StdDev_Monthly],"-",0)</f>
        <v>3.3933982252531925</v>
      </c>
      <c r="G23">
        <f>IF(LEFT(Table_Inv_Opt[[#This Row],[ABC_XYZ]],1)="A",2.05,IF(LEFT(Table_Inv_Opt[[#This Row],[ABC_XYZ]],1)="B",1.65,1.28))</f>
        <v>2.0499999999999998</v>
      </c>
      <c r="H23">
        <f>ROUNDUP(Table_Inv_Opt[[#This Row],[Service_Level_Z]]*Table_Inv_Opt[[#This Row],[StdDev_Monthly]]*SQRT(Table_Inv_Opt[[#This Row],[Lead_Times_days]]/30),0)</f>
        <v>7</v>
      </c>
      <c r="I23">
        <f>ROUNDUP((Table_Inv_Opt[[#This Row],[Avg_Monthly_Demand]]/30*Table_Inv_Opt[[#This Row],[Lead_Times_days]])+Table_Inv_Opt[[#This Row],[New_Safety_Stock]],0)</f>
        <v>13</v>
      </c>
      <c r="J23">
        <f>_xlfn.XLOOKUP(Table_Inv_Opt[[#This Row],[SKU_ID]],Table_Order_History[SKU_ID],Table_Order_History[Total_2024],"-")</f>
        <v>76</v>
      </c>
      <c r="K23" s="4">
        <f>_xlfn.XLOOKUP(Table_Inv_Opt[[#This Row],[SKU_ID]],Tabelle2[SKU_ID],Tabelle2[Unit_Purchase_Cost_€],"-",0)</f>
        <v>195</v>
      </c>
      <c r="L23">
        <f>ROUND(SQRT((2*Table_Inv_Opt[[#This Row],[Annual_Demand_2024]]*22)/(0.18*Table_Inv_Opt[[#This Row],[Unit_Purchase_Cost_€]])),0)</f>
        <v>10</v>
      </c>
    </row>
    <row r="24" spans="1:17" x14ac:dyDescent="0.2">
      <c r="A24" t="s">
        <v>104</v>
      </c>
      <c r="B24" t="s">
        <v>105</v>
      </c>
      <c r="C24" s="103" t="str">
        <f>_xlfn.XLOOKUP(Table_Inv_Opt[[#This Row],[SKU_ID]],Tabelle8[SKU_ID],Tabelle8[ABC_XYZ],"-",0)</f>
        <v>AZ</v>
      </c>
      <c r="D24">
        <f>_xlfn.XLOOKUP(Table_Inv_Opt[[#This Row],[SKU_ID]],Tabelle2[SKU_ID],Tabelle2[Lead_Time_days],"-",0)</f>
        <v>25</v>
      </c>
      <c r="E24" s="16">
        <f>_xlfn.XLOOKUP(Table_Inv_Opt[[#This Row],[SKU_ID]],Tabelle8[SKU_ID],Tabelle8[Avg_Monthly],"-",0)</f>
        <v>1.4166666666666667</v>
      </c>
      <c r="F24" s="15">
        <f>_xlfn.XLOOKUP(Table_Inv_Opt[[#This Row],[SKU_ID]],Tabelle8[SKU_ID],Tabelle8[StdDev_Monthly],"-",0)</f>
        <v>1.164500152881315</v>
      </c>
      <c r="G24">
        <f>IF(LEFT(Table_Inv_Opt[[#This Row],[ABC_XYZ]],1)="A",2.05,IF(LEFT(Table_Inv_Opt[[#This Row],[ABC_XYZ]],1)="B",1.65,1.28))</f>
        <v>2.0499999999999998</v>
      </c>
      <c r="H24">
        <f>ROUNDUP(Table_Inv_Opt[[#This Row],[Service_Level_Z]]*Table_Inv_Opt[[#This Row],[StdDev_Monthly]]*SQRT(Table_Inv_Opt[[#This Row],[Lead_Times_days]]/30),0)</f>
        <v>3</v>
      </c>
      <c r="I24">
        <f>ROUNDUP((Table_Inv_Opt[[#This Row],[Avg_Monthly_Demand]]/30*Table_Inv_Opt[[#This Row],[Lead_Times_days]])+Table_Inv_Opt[[#This Row],[New_Safety_Stock]],0)</f>
        <v>5</v>
      </c>
      <c r="J24">
        <f>_xlfn.XLOOKUP(Table_Inv_Opt[[#This Row],[SKU_ID]],Table_Order_History[SKU_ID],Table_Order_History[Total_2024],"-")</f>
        <v>17</v>
      </c>
      <c r="K24" s="4">
        <f>_xlfn.XLOOKUP(Table_Inv_Opt[[#This Row],[SKU_ID]],Tabelle2[SKU_ID],Tabelle2[Unit_Purchase_Cost_€],"-",0)</f>
        <v>420</v>
      </c>
      <c r="L24">
        <f>ROUND(SQRT((2*Table_Inv_Opt[[#This Row],[Annual_Demand_2024]]*22)/(0.18*Table_Inv_Opt[[#This Row],[Unit_Purchase_Cost_€]])),0)</f>
        <v>3</v>
      </c>
    </row>
    <row r="25" spans="1:17" x14ac:dyDescent="0.2">
      <c r="A25" t="s">
        <v>107</v>
      </c>
      <c r="B25" t="s">
        <v>108</v>
      </c>
      <c r="C25" s="103" t="str">
        <f>_xlfn.XLOOKUP(Table_Inv_Opt[[#This Row],[SKU_ID]],Tabelle8[SKU_ID],Tabelle8[ABC_XYZ],"-",0)</f>
        <v>AY</v>
      </c>
      <c r="D25">
        <f>_xlfn.XLOOKUP(Table_Inv_Opt[[#This Row],[SKU_ID]],Tabelle2[SKU_ID],Tabelle2[Lead_Time_days],"-",0)</f>
        <v>18</v>
      </c>
      <c r="E25" s="16">
        <f>_xlfn.XLOOKUP(Table_Inv_Opt[[#This Row],[SKU_ID]],Tabelle8[SKU_ID],Tabelle8[Avg_Monthly],"-",0)</f>
        <v>6.916666666666667</v>
      </c>
      <c r="F25" s="15">
        <f>_xlfn.XLOOKUP(Table_Inv_Opt[[#This Row],[SKU_ID]],Tabelle8[SKU_ID],Tabelle8[StdDev_Monthly],"-",0)</f>
        <v>2.9374798516394756</v>
      </c>
      <c r="G25">
        <f>IF(LEFT(Table_Inv_Opt[[#This Row],[ABC_XYZ]],1)="A",2.05,IF(LEFT(Table_Inv_Opt[[#This Row],[ABC_XYZ]],1)="B",1.65,1.28))</f>
        <v>2.0499999999999998</v>
      </c>
      <c r="H25">
        <f>ROUNDUP(Table_Inv_Opt[[#This Row],[Service_Level_Z]]*Table_Inv_Opt[[#This Row],[StdDev_Monthly]]*SQRT(Table_Inv_Opt[[#This Row],[Lead_Times_days]]/30),0)</f>
        <v>5</v>
      </c>
      <c r="I25">
        <f>ROUNDUP((Table_Inv_Opt[[#This Row],[Avg_Monthly_Demand]]/30*Table_Inv_Opt[[#This Row],[Lead_Times_days]])+Table_Inv_Opt[[#This Row],[New_Safety_Stock]],0)</f>
        <v>10</v>
      </c>
      <c r="J25">
        <f>_xlfn.XLOOKUP(Table_Inv_Opt[[#This Row],[SKU_ID]],Table_Order_History[SKU_ID],Table_Order_History[Total_2024],"-")</f>
        <v>83</v>
      </c>
      <c r="K25" s="4">
        <f>_xlfn.XLOOKUP(Table_Inv_Opt[[#This Row],[SKU_ID]],Tabelle2[SKU_ID],Tabelle2[Unit_Purchase_Cost_€],"-",0)</f>
        <v>88</v>
      </c>
      <c r="L25">
        <f>ROUND(SQRT((2*Table_Inv_Opt[[#This Row],[Annual_Demand_2024]]*22)/(0.18*Table_Inv_Opt[[#This Row],[Unit_Purchase_Cost_€]])),0)</f>
        <v>15</v>
      </c>
    </row>
    <row r="26" spans="1:17" x14ac:dyDescent="0.2">
      <c r="A26" t="s">
        <v>110</v>
      </c>
      <c r="B26" t="s">
        <v>111</v>
      </c>
      <c r="C26" s="103" t="str">
        <f>_xlfn.XLOOKUP(Table_Inv_Opt[[#This Row],[SKU_ID]],Tabelle8[SKU_ID],Tabelle8[ABC_XYZ],"-",0)</f>
        <v>BX</v>
      </c>
      <c r="D26">
        <f>_xlfn.XLOOKUP(Table_Inv_Opt[[#This Row],[SKU_ID]],Tabelle2[SKU_ID],Tabelle2[Lead_Time_days],"-",0)</f>
        <v>7</v>
      </c>
      <c r="E26" s="16">
        <f>_xlfn.XLOOKUP(Table_Inv_Opt[[#This Row],[SKU_ID]],Tabelle8[SKU_ID],Tabelle8[Avg_Monthly],"-",0)</f>
        <v>25.416666666666668</v>
      </c>
      <c r="F26" s="15">
        <f>_xlfn.XLOOKUP(Table_Inv_Opt[[#This Row],[SKU_ID]],Tabelle8[SKU_ID],Tabelle8[StdDev_Monthly],"-",0)</f>
        <v>4.1878250665326044</v>
      </c>
      <c r="G26">
        <f>IF(LEFT(Table_Inv_Opt[[#This Row],[ABC_XYZ]],1)="A",2.05,IF(LEFT(Table_Inv_Opt[[#This Row],[ABC_XYZ]],1)="B",1.65,1.28))</f>
        <v>1.65</v>
      </c>
      <c r="H26">
        <f>ROUNDUP(Table_Inv_Opt[[#This Row],[Service_Level_Z]]*Table_Inv_Opt[[#This Row],[StdDev_Monthly]]*SQRT(Table_Inv_Opt[[#This Row],[Lead_Times_days]]/30),0)</f>
        <v>4</v>
      </c>
      <c r="I26">
        <f>ROUNDUP((Table_Inv_Opt[[#This Row],[Avg_Monthly_Demand]]/30*Table_Inv_Opt[[#This Row],[Lead_Times_days]])+Table_Inv_Opt[[#This Row],[New_Safety_Stock]],0)</f>
        <v>10</v>
      </c>
      <c r="J26">
        <f>_xlfn.XLOOKUP(Table_Inv_Opt[[#This Row],[SKU_ID]],Table_Order_History[SKU_ID],Table_Order_History[Total_2024],"-")</f>
        <v>305</v>
      </c>
      <c r="K26" s="4">
        <f>_xlfn.XLOOKUP(Table_Inv_Opt[[#This Row],[SKU_ID]],Tabelle2[SKU_ID],Tabelle2[Unit_Purchase_Cost_€],"-",0)</f>
        <v>14</v>
      </c>
      <c r="L26">
        <f>ROUND(SQRT((2*Table_Inv_Opt[[#This Row],[Annual_Demand_2024]]*22)/(0.18*Table_Inv_Opt[[#This Row],[Unit_Purchase_Cost_€]])),0)</f>
        <v>73</v>
      </c>
    </row>
    <row r="27" spans="1:17" x14ac:dyDescent="0.2">
      <c r="A27" t="s">
        <v>113</v>
      </c>
      <c r="B27" t="s">
        <v>114</v>
      </c>
      <c r="C27" s="103" t="str">
        <f>_xlfn.XLOOKUP(Table_Inv_Opt[[#This Row],[SKU_ID]],Tabelle8[SKU_ID],Tabelle8[ABC_XYZ],"-",0)</f>
        <v>BY</v>
      </c>
      <c r="D27">
        <f>_xlfn.XLOOKUP(Table_Inv_Opt[[#This Row],[SKU_ID]],Tabelle2[SKU_ID],Tabelle2[Lead_Time_days],"-",0)</f>
        <v>10</v>
      </c>
      <c r="E27" s="16">
        <f>_xlfn.XLOOKUP(Table_Inv_Opt[[#This Row],[SKU_ID]],Tabelle8[SKU_ID],Tabelle8[Avg_Monthly],"-",0)</f>
        <v>12.166666666666666</v>
      </c>
      <c r="F27" s="15">
        <f>_xlfn.XLOOKUP(Table_Inv_Opt[[#This Row],[SKU_ID]],Tabelle8[SKU_ID],Tabelle8[StdDev_Monthly],"-",0)</f>
        <v>3.5632807491088467</v>
      </c>
      <c r="G27">
        <f>IF(LEFT(Table_Inv_Opt[[#This Row],[ABC_XYZ]],1)="A",2.05,IF(LEFT(Table_Inv_Opt[[#This Row],[ABC_XYZ]],1)="B",1.65,1.28))</f>
        <v>1.65</v>
      </c>
      <c r="H27">
        <f>ROUNDUP(Table_Inv_Opt[[#This Row],[Service_Level_Z]]*Table_Inv_Opt[[#This Row],[StdDev_Monthly]]*SQRT(Table_Inv_Opt[[#This Row],[Lead_Times_days]]/30),0)</f>
        <v>4</v>
      </c>
      <c r="I27">
        <f>ROUNDUP((Table_Inv_Opt[[#This Row],[Avg_Monthly_Demand]]/30*Table_Inv_Opt[[#This Row],[Lead_Times_days]])+Table_Inv_Opt[[#This Row],[New_Safety_Stock]],0)</f>
        <v>9</v>
      </c>
      <c r="J27">
        <f>_xlfn.XLOOKUP(Table_Inv_Opt[[#This Row],[SKU_ID]],Table_Order_History[SKU_ID],Table_Order_History[Total_2024],"-")</f>
        <v>146</v>
      </c>
      <c r="K27" s="4">
        <f>_xlfn.XLOOKUP(Table_Inv_Opt[[#This Row],[SKU_ID]],Tabelle2[SKU_ID],Tabelle2[Unit_Purchase_Cost_€],"-",0)</f>
        <v>29</v>
      </c>
      <c r="L27">
        <f>ROUND(SQRT((2*Table_Inv_Opt[[#This Row],[Annual_Demand_2024]]*22)/(0.18*Table_Inv_Opt[[#This Row],[Unit_Purchase_Cost_€]])),0)</f>
        <v>35</v>
      </c>
    </row>
    <row r="28" spans="1:17" x14ac:dyDescent="0.2">
      <c r="A28" t="s">
        <v>116</v>
      </c>
      <c r="B28" t="s">
        <v>117</v>
      </c>
      <c r="C28" s="103" t="str">
        <f>_xlfn.XLOOKUP(Table_Inv_Opt[[#This Row],[SKU_ID]],Tabelle8[SKU_ID],Tabelle8[ABC_XYZ],"-",0)</f>
        <v>AY</v>
      </c>
      <c r="D28">
        <f>_xlfn.XLOOKUP(Table_Inv_Opt[[#This Row],[SKU_ID]],Tabelle2[SKU_ID],Tabelle2[Lead_Time_days],"-",0)</f>
        <v>14</v>
      </c>
      <c r="E28" s="16">
        <f>_xlfn.XLOOKUP(Table_Inv_Opt[[#This Row],[SKU_ID]],Tabelle8[SKU_ID],Tabelle8[Avg_Monthly],"-",0)</f>
        <v>6</v>
      </c>
      <c r="F28" s="15">
        <f>_xlfn.XLOOKUP(Table_Inv_Opt[[#This Row],[SKU_ID]],Tabelle8[SKU_ID],Tabelle8[StdDev_Monthly],"-",0)</f>
        <v>2.8919952219248848</v>
      </c>
      <c r="G28">
        <f>IF(LEFT(Table_Inv_Opt[[#This Row],[ABC_XYZ]],1)="A",2.05,IF(LEFT(Table_Inv_Opt[[#This Row],[ABC_XYZ]],1)="B",1.65,1.28))</f>
        <v>2.0499999999999998</v>
      </c>
      <c r="H28">
        <f>ROUNDUP(Table_Inv_Opt[[#This Row],[Service_Level_Z]]*Table_Inv_Opt[[#This Row],[StdDev_Monthly]]*SQRT(Table_Inv_Opt[[#This Row],[Lead_Times_days]]/30),0)</f>
        <v>5</v>
      </c>
      <c r="I28">
        <f>ROUNDUP((Table_Inv_Opt[[#This Row],[Avg_Monthly_Demand]]/30*Table_Inv_Opt[[#This Row],[Lead_Times_days]])+Table_Inv_Opt[[#This Row],[New_Safety_Stock]],0)</f>
        <v>8</v>
      </c>
      <c r="J28">
        <f>_xlfn.XLOOKUP(Table_Inv_Opt[[#This Row],[SKU_ID]],Table_Order_History[SKU_ID],Table_Order_History[Total_2024],"-")</f>
        <v>72</v>
      </c>
      <c r="K28" s="4">
        <f>_xlfn.XLOOKUP(Table_Inv_Opt[[#This Row],[SKU_ID]],Tabelle2[SKU_ID],Tabelle2[Unit_Purchase_Cost_€],"-",0)</f>
        <v>72</v>
      </c>
      <c r="L28">
        <f>ROUND(SQRT((2*Table_Inv_Opt[[#This Row],[Annual_Demand_2024]]*22)/(0.18*Table_Inv_Opt[[#This Row],[Unit_Purchase_Cost_€]])),0)</f>
        <v>16</v>
      </c>
    </row>
    <row r="29" spans="1:17" x14ac:dyDescent="0.2">
      <c r="A29" t="s">
        <v>120</v>
      </c>
      <c r="B29" t="s">
        <v>121</v>
      </c>
      <c r="C29" s="103" t="str">
        <f>_xlfn.XLOOKUP(Table_Inv_Opt[[#This Row],[SKU_ID]],Tabelle8[SKU_ID],Tabelle8[ABC_XYZ],"-",0)</f>
        <v>BY</v>
      </c>
      <c r="D29">
        <f>_xlfn.XLOOKUP(Table_Inv_Opt[[#This Row],[SKU_ID]],Tabelle2[SKU_ID],Tabelle2[Lead_Time_days],"-",0)</f>
        <v>14</v>
      </c>
      <c r="E29" s="16">
        <f>_xlfn.XLOOKUP(Table_Inv_Opt[[#This Row],[SKU_ID]],Tabelle8[SKU_ID],Tabelle8[Avg_Monthly],"-",0)</f>
        <v>5</v>
      </c>
      <c r="F29" s="15">
        <f>_xlfn.XLOOKUP(Table_Inv_Opt[[#This Row],[SKU_ID]],Tabelle8[SKU_ID],Tabelle8[StdDev_Monthly],"-",0)</f>
        <v>2.3354968324845689</v>
      </c>
      <c r="G29">
        <f>IF(LEFT(Table_Inv_Opt[[#This Row],[ABC_XYZ]],1)="A",2.05,IF(LEFT(Table_Inv_Opt[[#This Row],[ABC_XYZ]],1)="B",1.65,1.28))</f>
        <v>1.65</v>
      </c>
      <c r="H29">
        <f>ROUNDUP(Table_Inv_Opt[[#This Row],[Service_Level_Z]]*Table_Inv_Opt[[#This Row],[StdDev_Monthly]]*SQRT(Table_Inv_Opt[[#This Row],[Lead_Times_days]]/30),0)</f>
        <v>3</v>
      </c>
      <c r="I29">
        <f>ROUNDUP((Table_Inv_Opt[[#This Row],[Avg_Monthly_Demand]]/30*Table_Inv_Opt[[#This Row],[Lead_Times_days]])+Table_Inv_Opt[[#This Row],[New_Safety_Stock]],0)</f>
        <v>6</v>
      </c>
      <c r="J29">
        <f>_xlfn.XLOOKUP(Table_Inv_Opt[[#This Row],[SKU_ID]],Table_Order_History[SKU_ID],Table_Order_History[Total_2024],"-")</f>
        <v>60</v>
      </c>
      <c r="K29" s="4">
        <f>_xlfn.XLOOKUP(Table_Inv_Opt[[#This Row],[SKU_ID]],Tabelle2[SKU_ID],Tabelle2[Unit_Purchase_Cost_€],"-",0)</f>
        <v>68</v>
      </c>
      <c r="L29">
        <f>ROUND(SQRT((2*Table_Inv_Opt[[#This Row],[Annual_Demand_2024]]*22)/(0.18*Table_Inv_Opt[[#This Row],[Unit_Purchase_Cost_€]])),0)</f>
        <v>15</v>
      </c>
    </row>
    <row r="30" spans="1:17" x14ac:dyDescent="0.2">
      <c r="A30" t="s">
        <v>123</v>
      </c>
      <c r="B30" t="s">
        <v>124</v>
      </c>
      <c r="C30" s="103" t="str">
        <f>_xlfn.XLOOKUP(Table_Inv_Opt[[#This Row],[SKU_ID]],Tabelle8[SKU_ID],Tabelle8[ABC_XYZ],"-",0)</f>
        <v>BX</v>
      </c>
      <c r="D30">
        <f>_xlfn.XLOOKUP(Table_Inv_Opt[[#This Row],[SKU_ID]],Tabelle2[SKU_ID],Tabelle2[Lead_Time_days],"-",0)</f>
        <v>14</v>
      </c>
      <c r="E30" s="16">
        <f>_xlfn.XLOOKUP(Table_Inv_Opt[[#This Row],[SKU_ID]],Tabelle8[SKU_ID],Tabelle8[Avg_Monthly],"-",0)</f>
        <v>8.5</v>
      </c>
      <c r="F30" s="15">
        <f>_xlfn.XLOOKUP(Table_Inv_Opt[[#This Row],[SKU_ID]],Tabelle8[SKU_ID],Tabelle8[StdDev_Monthly],"-",0)</f>
        <v>1.9771421064483223</v>
      </c>
      <c r="G30">
        <f>IF(LEFT(Table_Inv_Opt[[#This Row],[ABC_XYZ]],1)="A",2.05,IF(LEFT(Table_Inv_Opt[[#This Row],[ABC_XYZ]],1)="B",1.65,1.28))</f>
        <v>1.65</v>
      </c>
      <c r="H30">
        <f>ROUNDUP(Table_Inv_Opt[[#This Row],[Service_Level_Z]]*Table_Inv_Opt[[#This Row],[StdDev_Monthly]]*SQRT(Table_Inv_Opt[[#This Row],[Lead_Times_days]]/30),0)</f>
        <v>3</v>
      </c>
      <c r="I30">
        <f>ROUNDUP((Table_Inv_Opt[[#This Row],[Avg_Monthly_Demand]]/30*Table_Inv_Opt[[#This Row],[Lead_Times_days]])+Table_Inv_Opt[[#This Row],[New_Safety_Stock]],0)</f>
        <v>7</v>
      </c>
      <c r="J30">
        <f>_xlfn.XLOOKUP(Table_Inv_Opt[[#This Row],[SKU_ID]],Table_Order_History[SKU_ID],Table_Order_History[Total_2024],"-")</f>
        <v>102</v>
      </c>
      <c r="K30" s="4">
        <f>_xlfn.XLOOKUP(Table_Inv_Opt[[#This Row],[SKU_ID]],Tabelle2[SKU_ID],Tabelle2[Unit_Purchase_Cost_€],"-",0)</f>
        <v>42</v>
      </c>
      <c r="L30">
        <f>ROUND(SQRT((2*Table_Inv_Opt[[#This Row],[Annual_Demand_2024]]*22)/(0.18*Table_Inv_Opt[[#This Row],[Unit_Purchase_Cost_€]])),0)</f>
        <v>24</v>
      </c>
    </row>
    <row r="31" spans="1:17" x14ac:dyDescent="0.2">
      <c r="A31" t="s">
        <v>126</v>
      </c>
      <c r="B31" t="s">
        <v>127</v>
      </c>
      <c r="C31" s="103" t="str">
        <f>_xlfn.XLOOKUP(Table_Inv_Opt[[#This Row],[SKU_ID]],Tabelle8[SKU_ID],Tabelle8[ABC_XYZ],"-",0)</f>
        <v>AX</v>
      </c>
      <c r="D31">
        <f>_xlfn.XLOOKUP(Table_Inv_Opt[[#This Row],[SKU_ID]],Tabelle2[SKU_ID],Tabelle2[Lead_Time_days],"-",0)</f>
        <v>14</v>
      </c>
      <c r="E31" s="16">
        <f>_xlfn.XLOOKUP(Table_Inv_Opt[[#This Row],[SKU_ID]],Tabelle8[SKU_ID],Tabelle8[Avg_Monthly],"-",0)</f>
        <v>20.666666666666668</v>
      </c>
      <c r="F31" s="15">
        <f>_xlfn.XLOOKUP(Table_Inv_Opt[[#This Row],[SKU_ID]],Tabelle8[SKU_ID],Tabelle8[StdDev_Monthly],"-",0)</f>
        <v>4.8492423650660674</v>
      </c>
      <c r="G31">
        <f>IF(LEFT(Table_Inv_Opt[[#This Row],[ABC_XYZ]],1)="A",2.05,IF(LEFT(Table_Inv_Opt[[#This Row],[ABC_XYZ]],1)="B",1.65,1.28))</f>
        <v>2.0499999999999998</v>
      </c>
      <c r="H31">
        <f>ROUNDUP(Table_Inv_Opt[[#This Row],[Service_Level_Z]]*Table_Inv_Opt[[#This Row],[StdDev_Monthly]]*SQRT(Table_Inv_Opt[[#This Row],[Lead_Times_days]]/30),0)</f>
        <v>7</v>
      </c>
      <c r="I31">
        <f>ROUNDUP((Table_Inv_Opt[[#This Row],[Avg_Monthly_Demand]]/30*Table_Inv_Opt[[#This Row],[Lead_Times_days]])+Table_Inv_Opt[[#This Row],[New_Safety_Stock]],0)</f>
        <v>17</v>
      </c>
      <c r="J31">
        <f>_xlfn.XLOOKUP(Table_Inv_Opt[[#This Row],[SKU_ID]],Table_Order_History[SKU_ID],Table_Order_History[Total_2024],"-")</f>
        <v>248</v>
      </c>
      <c r="K31" s="4">
        <f>_xlfn.XLOOKUP(Table_Inv_Opt[[#This Row],[SKU_ID]],Tabelle2[SKU_ID],Tabelle2[Unit_Purchase_Cost_€],"-",0)</f>
        <v>21</v>
      </c>
      <c r="L31">
        <f>ROUND(SQRT((2*Table_Inv_Opt[[#This Row],[Annual_Demand_2024]]*22)/(0.18*Table_Inv_Opt[[#This Row],[Unit_Purchase_Cost_€]])),0)</f>
        <v>54</v>
      </c>
    </row>
    <row r="32" spans="1:17" x14ac:dyDescent="0.2">
      <c r="A32" t="s">
        <v>128</v>
      </c>
      <c r="B32" t="s">
        <v>129</v>
      </c>
      <c r="C32" s="103" t="str">
        <f>_xlfn.XLOOKUP(Table_Inv_Opt[[#This Row],[SKU_ID]],Tabelle8[SKU_ID],Tabelle8[ABC_XYZ],"-",0)</f>
        <v>BY</v>
      </c>
      <c r="D32">
        <f>_xlfn.XLOOKUP(Table_Inv_Opt[[#This Row],[SKU_ID]],Tabelle2[SKU_ID],Tabelle2[Lead_Time_days],"-",0)</f>
        <v>14</v>
      </c>
      <c r="E32" s="16">
        <f>_xlfn.XLOOKUP(Table_Inv_Opt[[#This Row],[SKU_ID]],Tabelle8[SKU_ID],Tabelle8[Avg_Monthly],"-",0)</f>
        <v>9.75</v>
      </c>
      <c r="F32" s="15">
        <f>_xlfn.XLOOKUP(Table_Inv_Opt[[#This Row],[SKU_ID]],Tabelle8[SKU_ID],Tabelle8[StdDev_Monthly],"-",0)</f>
        <v>2.9886147596868655</v>
      </c>
      <c r="G32">
        <f>IF(LEFT(Table_Inv_Opt[[#This Row],[ABC_XYZ]],1)="A",2.05,IF(LEFT(Table_Inv_Opt[[#This Row],[ABC_XYZ]],1)="B",1.65,1.28))</f>
        <v>1.65</v>
      </c>
      <c r="H32">
        <f>ROUNDUP(Table_Inv_Opt[[#This Row],[Service_Level_Z]]*Table_Inv_Opt[[#This Row],[StdDev_Monthly]]*SQRT(Table_Inv_Opt[[#This Row],[Lead_Times_days]]/30),0)</f>
        <v>4</v>
      </c>
      <c r="I32">
        <f>ROUNDUP((Table_Inv_Opt[[#This Row],[Avg_Monthly_Demand]]/30*Table_Inv_Opt[[#This Row],[Lead_Times_days]])+Table_Inv_Opt[[#This Row],[New_Safety_Stock]],0)</f>
        <v>9</v>
      </c>
      <c r="J32">
        <f>_xlfn.XLOOKUP(Table_Inv_Opt[[#This Row],[SKU_ID]],Table_Order_History[SKU_ID],Table_Order_History[Total_2024],"-")</f>
        <v>117</v>
      </c>
      <c r="K32" s="4">
        <f>_xlfn.XLOOKUP(Table_Inv_Opt[[#This Row],[SKU_ID]],Tabelle2[SKU_ID],Tabelle2[Unit_Purchase_Cost_€],"-",0)</f>
        <v>34</v>
      </c>
      <c r="L32">
        <f>ROUND(SQRT((2*Table_Inv_Opt[[#This Row],[Annual_Demand_2024]]*22)/(0.18*Table_Inv_Opt[[#This Row],[Unit_Purchase_Cost_€]])),0)</f>
        <v>29</v>
      </c>
    </row>
    <row r="33" spans="1:12" x14ac:dyDescent="0.2">
      <c r="A33" t="s">
        <v>130</v>
      </c>
      <c r="B33" t="s">
        <v>131</v>
      </c>
      <c r="C33" s="103" t="str">
        <f>_xlfn.XLOOKUP(Table_Inv_Opt[[#This Row],[SKU_ID]],Tabelle8[SKU_ID],Tabelle8[ABC_XYZ],"-",0)</f>
        <v>AY</v>
      </c>
      <c r="D33">
        <f>_xlfn.XLOOKUP(Table_Inv_Opt[[#This Row],[SKU_ID]],Tabelle2[SKU_ID],Tabelle2[Lead_Time_days],"-",0)</f>
        <v>12</v>
      </c>
      <c r="E33" s="16">
        <f>_xlfn.XLOOKUP(Table_Inv_Opt[[#This Row],[SKU_ID]],Tabelle8[SKU_ID],Tabelle8[Avg_Monthly],"-",0)</f>
        <v>4.833333333333333</v>
      </c>
      <c r="F33" s="15">
        <f>_xlfn.XLOOKUP(Table_Inv_Opt[[#This Row],[SKU_ID]],Tabelle8[SKU_ID],Tabelle8[StdDev_Monthly],"-",0)</f>
        <v>1.8989630344113093</v>
      </c>
      <c r="G33">
        <f>IF(LEFT(Table_Inv_Opt[[#This Row],[ABC_XYZ]],1)="A",2.05,IF(LEFT(Table_Inv_Opt[[#This Row],[ABC_XYZ]],1)="B",1.65,1.28))</f>
        <v>2.0499999999999998</v>
      </c>
      <c r="H33">
        <f>ROUNDUP(Table_Inv_Opt[[#This Row],[Service_Level_Z]]*Table_Inv_Opt[[#This Row],[StdDev_Monthly]]*SQRT(Table_Inv_Opt[[#This Row],[Lead_Times_days]]/30),0)</f>
        <v>3</v>
      </c>
      <c r="I33">
        <f>ROUNDUP((Table_Inv_Opt[[#This Row],[Avg_Monthly_Demand]]/30*Table_Inv_Opt[[#This Row],[Lead_Times_days]])+Table_Inv_Opt[[#This Row],[New_Safety_Stock]],0)</f>
        <v>5</v>
      </c>
      <c r="J33">
        <f>_xlfn.XLOOKUP(Table_Inv_Opt[[#This Row],[SKU_ID]],Table_Order_History[SKU_ID],Table_Order_History[Total_2024],"-")</f>
        <v>58</v>
      </c>
      <c r="K33" s="4">
        <f>_xlfn.XLOOKUP(Table_Inv_Opt[[#This Row],[SKU_ID]],Tabelle2[SKU_ID],Tabelle2[Unit_Purchase_Cost_€],"-",0)</f>
        <v>110</v>
      </c>
      <c r="L33">
        <f>ROUND(SQRT((2*Table_Inv_Opt[[#This Row],[Annual_Demand_2024]]*22)/(0.18*Table_Inv_Opt[[#This Row],[Unit_Purchase_Cost_€]])),0)</f>
        <v>11</v>
      </c>
    </row>
    <row r="34" spans="1:12" x14ac:dyDescent="0.2">
      <c r="A34" t="s">
        <v>133</v>
      </c>
      <c r="B34" t="s">
        <v>134</v>
      </c>
      <c r="C34" s="103" t="str">
        <f>_xlfn.XLOOKUP(Table_Inv_Opt[[#This Row],[SKU_ID]],Tabelle8[SKU_ID],Tabelle8[ABC_XYZ],"-",0)</f>
        <v>AY</v>
      </c>
      <c r="D34">
        <f>_xlfn.XLOOKUP(Table_Inv_Opt[[#This Row],[SKU_ID]],Tabelle2[SKU_ID],Tabelle2[Lead_Time_days],"-",0)</f>
        <v>21</v>
      </c>
      <c r="E34" s="16">
        <f>_xlfn.XLOOKUP(Table_Inv_Opt[[#This Row],[SKU_ID]],Tabelle8[SKU_ID],Tabelle8[Avg_Monthly],"-",0)</f>
        <v>6.5</v>
      </c>
      <c r="F34" s="15">
        <f>_xlfn.XLOOKUP(Table_Inv_Opt[[#This Row],[SKU_ID]],Tabelle8[SKU_ID],Tabelle8[StdDev_Monthly],"-",0)</f>
        <v>2.1532216876958201</v>
      </c>
      <c r="G34">
        <f>IF(LEFT(Table_Inv_Opt[[#This Row],[ABC_XYZ]],1)="A",2.05,IF(LEFT(Table_Inv_Opt[[#This Row],[ABC_XYZ]],1)="B",1.65,1.28))</f>
        <v>2.0499999999999998</v>
      </c>
      <c r="H34">
        <f>ROUNDUP(Table_Inv_Opt[[#This Row],[Service_Level_Z]]*Table_Inv_Opt[[#This Row],[StdDev_Monthly]]*SQRT(Table_Inv_Opt[[#This Row],[Lead_Times_days]]/30),0)</f>
        <v>4</v>
      </c>
      <c r="I34">
        <f>ROUNDUP((Table_Inv_Opt[[#This Row],[Avg_Monthly_Demand]]/30*Table_Inv_Opt[[#This Row],[Lead_Times_days]])+Table_Inv_Opt[[#This Row],[New_Safety_Stock]],0)</f>
        <v>9</v>
      </c>
      <c r="J34">
        <f>_xlfn.XLOOKUP(Table_Inv_Opt[[#This Row],[SKU_ID]],Table_Order_History[SKU_ID],Table_Order_History[Total_2024],"-")</f>
        <v>78</v>
      </c>
      <c r="K34" s="4">
        <f>_xlfn.XLOOKUP(Table_Inv_Opt[[#This Row],[SKU_ID]],Tabelle2[SKU_ID],Tabelle2[Unit_Purchase_Cost_€],"-",0)</f>
        <v>78</v>
      </c>
      <c r="L34">
        <f>ROUND(SQRT((2*Table_Inv_Opt[[#This Row],[Annual_Demand_2024]]*22)/(0.18*Table_Inv_Opt[[#This Row],[Unit_Purchase_Cost_€]])),0)</f>
        <v>16</v>
      </c>
    </row>
    <row r="35" spans="1:12" x14ac:dyDescent="0.2">
      <c r="A35" t="s">
        <v>135</v>
      </c>
      <c r="B35" t="s">
        <v>136</v>
      </c>
      <c r="C35" s="103" t="str">
        <f>_xlfn.XLOOKUP(Table_Inv_Opt[[#This Row],[SKU_ID]],Tabelle8[SKU_ID],Tabelle8[ABC_XYZ],"-",0)</f>
        <v>AX</v>
      </c>
      <c r="D35">
        <f>_xlfn.XLOOKUP(Table_Inv_Opt[[#This Row],[SKU_ID]],Tabelle2[SKU_ID],Tabelle2[Lead_Time_days],"-",0)</f>
        <v>7</v>
      </c>
      <c r="E35" s="16">
        <f>_xlfn.XLOOKUP(Table_Inv_Opt[[#This Row],[SKU_ID]],Tabelle8[SKU_ID],Tabelle8[Avg_Monthly],"-",0)</f>
        <v>7.5</v>
      </c>
      <c r="F35" s="15">
        <f>_xlfn.XLOOKUP(Table_Inv_Opt[[#This Row],[SKU_ID]],Tabelle8[SKU_ID],Tabelle8[StdDev_Monthly],"-",0)</f>
        <v>1.7320508075688772</v>
      </c>
      <c r="G35">
        <f>IF(LEFT(Table_Inv_Opt[[#This Row],[ABC_XYZ]],1)="A",2.05,IF(LEFT(Table_Inv_Opt[[#This Row],[ABC_XYZ]],1)="B",1.65,1.28))</f>
        <v>2.0499999999999998</v>
      </c>
      <c r="H35">
        <f>ROUNDUP(Table_Inv_Opt[[#This Row],[Service_Level_Z]]*Table_Inv_Opt[[#This Row],[StdDev_Monthly]]*SQRT(Table_Inv_Opt[[#This Row],[Lead_Times_days]]/30),0)</f>
        <v>2</v>
      </c>
      <c r="I35">
        <f>ROUNDUP((Table_Inv_Opt[[#This Row],[Avg_Monthly_Demand]]/30*Table_Inv_Opt[[#This Row],[Lead_Times_days]])+Table_Inv_Opt[[#This Row],[New_Safety_Stock]],0)</f>
        <v>4</v>
      </c>
      <c r="J35">
        <f>_xlfn.XLOOKUP(Table_Inv_Opt[[#This Row],[SKU_ID]],Table_Order_History[SKU_ID],Table_Order_History[Total_2024],"-")</f>
        <v>90</v>
      </c>
      <c r="K35" s="4">
        <f>_xlfn.XLOOKUP(Table_Inv_Opt[[#This Row],[SKU_ID]],Tabelle2[SKU_ID],Tabelle2[Unit_Purchase_Cost_€],"-",0)</f>
        <v>68</v>
      </c>
      <c r="L35">
        <f>ROUND(SQRT((2*Table_Inv_Opt[[#This Row],[Annual_Demand_2024]]*22)/(0.18*Table_Inv_Opt[[#This Row],[Unit_Purchase_Cost_€]])),0)</f>
        <v>18</v>
      </c>
    </row>
    <row r="36" spans="1:12" x14ac:dyDescent="0.2">
      <c r="A36" t="s">
        <v>138</v>
      </c>
      <c r="B36" t="s">
        <v>139</v>
      </c>
      <c r="C36" s="103" t="str">
        <f>_xlfn.XLOOKUP(Table_Inv_Opt[[#This Row],[SKU_ID]],Tabelle8[SKU_ID],Tabelle8[ABC_XYZ],"-",0)</f>
        <v>CX</v>
      </c>
      <c r="D36">
        <f>_xlfn.XLOOKUP(Table_Inv_Opt[[#This Row],[SKU_ID]],Tabelle2[SKU_ID],Tabelle2[Lead_Time_days],"-",0)</f>
        <v>7</v>
      </c>
      <c r="E36" s="16">
        <f>_xlfn.XLOOKUP(Table_Inv_Opt[[#This Row],[SKU_ID]],Tabelle8[SKU_ID],Tabelle8[Avg_Monthly],"-",0)</f>
        <v>14.666666666666666</v>
      </c>
      <c r="F36" s="15">
        <f>_xlfn.XLOOKUP(Table_Inv_Opt[[#This Row],[SKU_ID]],Tabelle8[SKU_ID],Tabelle8[StdDev_Monthly],"-",0)</f>
        <v>2.7413776673693651</v>
      </c>
      <c r="G36">
        <f>IF(LEFT(Table_Inv_Opt[[#This Row],[ABC_XYZ]],1)="A",2.05,IF(LEFT(Table_Inv_Opt[[#This Row],[ABC_XYZ]],1)="B",1.65,1.28))</f>
        <v>1.28</v>
      </c>
      <c r="H36">
        <f>ROUNDUP(Table_Inv_Opt[[#This Row],[Service_Level_Z]]*Table_Inv_Opt[[#This Row],[StdDev_Monthly]]*SQRT(Table_Inv_Opt[[#This Row],[Lead_Times_days]]/30),0)</f>
        <v>2</v>
      </c>
      <c r="I36">
        <f>ROUNDUP((Table_Inv_Opt[[#This Row],[Avg_Monthly_Demand]]/30*Table_Inv_Opt[[#This Row],[Lead_Times_days]])+Table_Inv_Opt[[#This Row],[New_Safety_Stock]],0)</f>
        <v>6</v>
      </c>
      <c r="J36">
        <f>_xlfn.XLOOKUP(Table_Inv_Opt[[#This Row],[SKU_ID]],Table_Order_History[SKU_ID],Table_Order_History[Total_2024],"-")</f>
        <v>176</v>
      </c>
      <c r="K36" s="4">
        <f>_xlfn.XLOOKUP(Table_Inv_Opt[[#This Row],[SKU_ID]],Tabelle2[SKU_ID],Tabelle2[Unit_Purchase_Cost_€],"-",0)</f>
        <v>18</v>
      </c>
      <c r="L36">
        <f>ROUND(SQRT((2*Table_Inv_Opt[[#This Row],[Annual_Demand_2024]]*22)/(0.18*Table_Inv_Opt[[#This Row],[Unit_Purchase_Cost_€]])),0)</f>
        <v>49</v>
      </c>
    </row>
    <row r="37" spans="1:12" x14ac:dyDescent="0.2">
      <c r="A37" t="s">
        <v>141</v>
      </c>
      <c r="B37" t="s">
        <v>142</v>
      </c>
      <c r="C37" s="103" t="str">
        <f>_xlfn.XLOOKUP(Table_Inv_Opt[[#This Row],[SKU_ID]],Tabelle8[SKU_ID],Tabelle8[ABC_XYZ],"-",0)</f>
        <v>CY</v>
      </c>
      <c r="D37">
        <f>_xlfn.XLOOKUP(Table_Inv_Opt[[#This Row],[SKU_ID]],Tabelle2[SKU_ID],Tabelle2[Lead_Time_days],"-",0)</f>
        <v>10</v>
      </c>
      <c r="E37" s="16">
        <f>_xlfn.XLOOKUP(Table_Inv_Opt[[#This Row],[SKU_ID]],Tabelle8[SKU_ID],Tabelle8[Avg_Monthly],"-",0)</f>
        <v>10.166666666666666</v>
      </c>
      <c r="F37" s="15">
        <f>_xlfn.XLOOKUP(Table_Inv_Opt[[#This Row],[SKU_ID]],Tabelle8[SKU_ID],Tabelle8[StdDev_Monthly],"-",0)</f>
        <v>3.0698929011029734</v>
      </c>
      <c r="G37">
        <f>IF(LEFT(Table_Inv_Opt[[#This Row],[ABC_XYZ]],1)="A",2.05,IF(LEFT(Table_Inv_Opt[[#This Row],[ABC_XYZ]],1)="B",1.65,1.28))</f>
        <v>1.28</v>
      </c>
      <c r="H37">
        <f>ROUNDUP(Table_Inv_Opt[[#This Row],[Service_Level_Z]]*Table_Inv_Opt[[#This Row],[StdDev_Monthly]]*SQRT(Table_Inv_Opt[[#This Row],[Lead_Times_days]]/30),0)</f>
        <v>3</v>
      </c>
      <c r="I37">
        <f>ROUNDUP((Table_Inv_Opt[[#This Row],[Avg_Monthly_Demand]]/30*Table_Inv_Opt[[#This Row],[Lead_Times_days]])+Table_Inv_Opt[[#This Row],[New_Safety_Stock]],0)</f>
        <v>7</v>
      </c>
      <c r="J37">
        <f>_xlfn.XLOOKUP(Table_Inv_Opt[[#This Row],[SKU_ID]],Table_Order_History[SKU_ID],Table_Order_History[Total_2024],"-")</f>
        <v>122</v>
      </c>
      <c r="K37" s="4">
        <f>_xlfn.XLOOKUP(Table_Inv_Opt[[#This Row],[SKU_ID]],Tabelle2[SKU_ID],Tabelle2[Unit_Purchase_Cost_€],"-",0)</f>
        <v>22</v>
      </c>
      <c r="L37">
        <f>ROUND(SQRT((2*Table_Inv_Opt[[#This Row],[Annual_Demand_2024]]*22)/(0.18*Table_Inv_Opt[[#This Row],[Unit_Purchase_Cost_€]])),0)</f>
        <v>37</v>
      </c>
    </row>
    <row r="38" spans="1:12" x14ac:dyDescent="0.2">
      <c r="A38" t="s">
        <v>144</v>
      </c>
      <c r="B38" t="s">
        <v>145</v>
      </c>
      <c r="C38" s="103" t="str">
        <f>_xlfn.XLOOKUP(Table_Inv_Opt[[#This Row],[SKU_ID]],Tabelle8[SKU_ID],Tabelle8[ABC_XYZ],"-",0)</f>
        <v>BY</v>
      </c>
      <c r="D38">
        <f>_xlfn.XLOOKUP(Table_Inv_Opt[[#This Row],[SKU_ID]],Tabelle2[SKU_ID],Tabelle2[Lead_Time_days],"-",0)</f>
        <v>14</v>
      </c>
      <c r="E38" s="16">
        <f>_xlfn.XLOOKUP(Table_Inv_Opt[[#This Row],[SKU_ID]],Tabelle8[SKU_ID],Tabelle8[Avg_Monthly],"-",0)</f>
        <v>8.4166666666666661</v>
      </c>
      <c r="F38" s="15">
        <f>_xlfn.XLOOKUP(Table_Inv_Opt[[#This Row],[SKU_ID]],Tabelle8[SKU_ID],Tabelle8[StdDev_Monthly],"-",0)</f>
        <v>4.0330077504452566</v>
      </c>
      <c r="G38">
        <f>IF(LEFT(Table_Inv_Opt[[#This Row],[ABC_XYZ]],1)="A",2.05,IF(LEFT(Table_Inv_Opt[[#This Row],[ABC_XYZ]],1)="B",1.65,1.28))</f>
        <v>1.65</v>
      </c>
      <c r="H38">
        <f>ROUNDUP(Table_Inv_Opt[[#This Row],[Service_Level_Z]]*Table_Inv_Opt[[#This Row],[StdDev_Monthly]]*SQRT(Table_Inv_Opt[[#This Row],[Lead_Times_days]]/30),0)</f>
        <v>5</v>
      </c>
      <c r="I38">
        <f>ROUNDUP((Table_Inv_Opt[[#This Row],[Avg_Monthly_Demand]]/30*Table_Inv_Opt[[#This Row],[Lead_Times_days]])+Table_Inv_Opt[[#This Row],[New_Safety_Stock]],0)</f>
        <v>9</v>
      </c>
      <c r="J38">
        <f>_xlfn.XLOOKUP(Table_Inv_Opt[[#This Row],[SKU_ID]],Table_Order_History[SKU_ID],Table_Order_History[Total_2024],"-")</f>
        <v>101</v>
      </c>
      <c r="K38" s="4">
        <f>_xlfn.XLOOKUP(Table_Inv_Opt[[#This Row],[SKU_ID]],Tabelle2[SKU_ID],Tabelle2[Unit_Purchase_Cost_€],"-",0)</f>
        <v>44</v>
      </c>
      <c r="L38">
        <f>ROUND(SQRT((2*Table_Inv_Opt[[#This Row],[Annual_Demand_2024]]*22)/(0.18*Table_Inv_Opt[[#This Row],[Unit_Purchase_Cost_€]])),0)</f>
        <v>24</v>
      </c>
    </row>
    <row r="39" spans="1:12" x14ac:dyDescent="0.2">
      <c r="A39" t="s">
        <v>146</v>
      </c>
      <c r="B39" t="s">
        <v>147</v>
      </c>
      <c r="C39" s="103" t="str">
        <f>_xlfn.XLOOKUP(Table_Inv_Opt[[#This Row],[SKU_ID]],Tabelle8[SKU_ID],Tabelle8[ABC_XYZ],"-",0)</f>
        <v>AX</v>
      </c>
      <c r="D39">
        <f>_xlfn.XLOOKUP(Table_Inv_Opt[[#This Row],[SKU_ID]],Tabelle2[SKU_ID],Tabelle2[Lead_Time_days],"-",0)</f>
        <v>10</v>
      </c>
      <c r="E39" s="16">
        <f>_xlfn.XLOOKUP(Table_Inv_Opt[[#This Row],[SKU_ID]],Tabelle8[SKU_ID],Tabelle8[Avg_Monthly],"-",0)</f>
        <v>12</v>
      </c>
      <c r="F39" s="15">
        <f>_xlfn.XLOOKUP(Table_Inv_Opt[[#This Row],[SKU_ID]],Tabelle8[SKU_ID],Tabelle8[StdDev_Monthly],"-",0)</f>
        <v>2.5936986577612919</v>
      </c>
      <c r="G39">
        <f>IF(LEFT(Table_Inv_Opt[[#This Row],[ABC_XYZ]],1)="A",2.05,IF(LEFT(Table_Inv_Opt[[#This Row],[ABC_XYZ]],1)="B",1.65,1.28))</f>
        <v>2.0499999999999998</v>
      </c>
      <c r="H39">
        <f>ROUNDUP(Table_Inv_Opt[[#This Row],[Service_Level_Z]]*Table_Inv_Opt[[#This Row],[StdDev_Monthly]]*SQRT(Table_Inv_Opt[[#This Row],[Lead_Times_days]]/30),0)</f>
        <v>4</v>
      </c>
      <c r="I39">
        <f>ROUNDUP((Table_Inv_Opt[[#This Row],[Avg_Monthly_Demand]]/30*Table_Inv_Opt[[#This Row],[Lead_Times_days]])+Table_Inv_Opt[[#This Row],[New_Safety_Stock]],0)</f>
        <v>8</v>
      </c>
      <c r="J39">
        <f>_xlfn.XLOOKUP(Table_Inv_Opt[[#This Row],[SKU_ID]],Table_Order_History[SKU_ID],Table_Order_History[Total_2024],"-")</f>
        <v>144</v>
      </c>
      <c r="K39" s="4">
        <f>_xlfn.XLOOKUP(Table_Inv_Opt[[#This Row],[SKU_ID]],Tabelle2[SKU_ID],Tabelle2[Unit_Purchase_Cost_€],"-",0)</f>
        <v>35</v>
      </c>
      <c r="L39">
        <f>ROUND(SQRT((2*Table_Inv_Opt[[#This Row],[Annual_Demand_2024]]*22)/(0.18*Table_Inv_Opt[[#This Row],[Unit_Purchase_Cost_€]])),0)</f>
        <v>32</v>
      </c>
    </row>
    <row r="41" spans="1:12" x14ac:dyDescent="0.2">
      <c r="A41" s="1" t="s">
        <v>30</v>
      </c>
      <c r="B41" s="1" t="s">
        <v>676</v>
      </c>
      <c r="C41" s="1" t="s">
        <v>677</v>
      </c>
      <c r="D41" s="1" t="s">
        <v>678</v>
      </c>
      <c r="E41" s="1" t="s">
        <v>679</v>
      </c>
      <c r="F41" s="1" t="s">
        <v>680</v>
      </c>
      <c r="G41" s="1" t="s">
        <v>681</v>
      </c>
    </row>
    <row r="42" spans="1:12" x14ac:dyDescent="0.2">
      <c r="A42" t="s">
        <v>39</v>
      </c>
      <c r="B42">
        <f>_xlfn.XLOOKUP(Tabelle21[[#This Row],[SKU_ID]],Tabelle6[SKU_ID],Tabelle6[Safety_Stock_units],"-",0)</f>
        <v>30</v>
      </c>
      <c r="C42">
        <f>_xlfn.XLOOKUP(Tabelle21[[#This Row],[SKU_ID]],Table_Inv_Opt[SKU_ID],Table_Inv_Opt[New_Safety_Stock],"-",0)-Tabelle21[[#This Row],[Old_Safety_Stock]]</f>
        <v>-18</v>
      </c>
      <c r="D42">
        <f>_xlfn.XLOOKUP(Tabelle21[[#This Row],[SKU_ID]],Tabelle6[SKU_ID],Tabelle6[Reorder_Point_units],"-",0)</f>
        <v>45</v>
      </c>
      <c r="E42">
        <f>_xlfn.XLOOKUP(Tabelle21[[#This Row],[SKU_ID]],Table_Inv_Opt[SKU_ID],Table_Inv_Opt[New_ROP],"-",0)-Tabelle21[[#This Row],[Old_ROP]]</f>
        <v>-20</v>
      </c>
      <c r="F42">
        <f>_xlfn.XLOOKUP(Tabelle21[[#This Row],[SKU_ID]],Tabelle6[SKU_ID],Tabelle6[Reorder_Qty_units],"-",0)</f>
        <v>48</v>
      </c>
      <c r="G42">
        <f>_xlfn.XLOOKUP(Tabelle21[[#This Row],[SKU_ID]],Table_Inv_Opt[SKU_ID],Table_Inv_Opt[EOQ],"-",0)-Tabelle21[[#This Row],[Old_Order_qty]]</f>
        <v>-4</v>
      </c>
    </row>
    <row r="43" spans="1:12" x14ac:dyDescent="0.2">
      <c r="A43" t="s">
        <v>43</v>
      </c>
      <c r="B43">
        <f>_xlfn.XLOOKUP(Tabelle21[[#This Row],[SKU_ID]],Tabelle6[SKU_ID],Tabelle6[Safety_Stock_units],"-",0)</f>
        <v>14</v>
      </c>
      <c r="C43">
        <f>_xlfn.XLOOKUP(Tabelle21[[#This Row],[SKU_ID]],Table_Inv_Opt[SKU_ID],Table_Inv_Opt[New_Safety_Stock],"-",0)-Tabelle21[[#This Row],[Old_Safety_Stock]]</f>
        <v>-4</v>
      </c>
      <c r="D43">
        <f>_xlfn.XLOOKUP(Tabelle21[[#This Row],[SKU_ID]],Tabelle6[SKU_ID],Tabelle6[Reorder_Point_units],"-",0)</f>
        <v>23</v>
      </c>
      <c r="E43">
        <f>_xlfn.XLOOKUP(Tabelle21[[#This Row],[SKU_ID]],Table_Inv_Opt[SKU_ID],Table_Inv_Opt[New_ROP],"-",0)-Tabelle21[[#This Row],[Old_ROP]]</f>
        <v>-4</v>
      </c>
      <c r="F43">
        <f>_xlfn.XLOOKUP(Tabelle21[[#This Row],[SKU_ID]],Tabelle6[SKU_ID],Tabelle6[Reorder_Qty_units],"-",0)</f>
        <v>40</v>
      </c>
      <c r="G43">
        <f>_xlfn.XLOOKUP(Tabelle21[[#This Row],[SKU_ID]],Table_Inv_Opt[SKU_ID],Table_Inv_Opt[EOQ],"-",0)-Tabelle21[[#This Row],[Old_Order_qty]]</f>
        <v>3</v>
      </c>
    </row>
    <row r="44" spans="1:12" x14ac:dyDescent="0.2">
      <c r="A44" t="s">
        <v>45</v>
      </c>
      <c r="B44">
        <f>_xlfn.XLOOKUP(Tabelle21[[#This Row],[SKU_ID]],Tabelle6[SKU_ID],Tabelle6[Safety_Stock_units],"-",0)</f>
        <v>10</v>
      </c>
      <c r="C44">
        <f>_xlfn.XLOOKUP(Tabelle21[[#This Row],[SKU_ID]],Table_Inv_Opt[SKU_ID],Table_Inv_Opt[New_Safety_Stock],"-",0)-Tabelle21[[#This Row],[Old_Safety_Stock]]</f>
        <v>1</v>
      </c>
      <c r="D44">
        <f>_xlfn.XLOOKUP(Tabelle21[[#This Row],[SKU_ID]],Tabelle6[SKU_ID],Tabelle6[Reorder_Point_units],"-",0)</f>
        <v>20</v>
      </c>
      <c r="E44">
        <f>_xlfn.XLOOKUP(Tabelle21[[#This Row],[SKU_ID]],Table_Inv_Opt[SKU_ID],Table_Inv_Opt[New_ROP],"-",0)-Tabelle21[[#This Row],[Old_ROP]]</f>
        <v>0</v>
      </c>
      <c r="F44">
        <f>_xlfn.XLOOKUP(Tabelle21[[#This Row],[SKU_ID]],Tabelle6[SKU_ID],Tabelle6[Reorder_Qty_units],"-",0)</f>
        <v>34</v>
      </c>
      <c r="G44">
        <f>_xlfn.XLOOKUP(Tabelle21[[#This Row],[SKU_ID]],Table_Inv_Opt[SKU_ID],Table_Inv_Opt[EOQ],"-",0)-Tabelle21[[#This Row],[Old_Order_qty]]</f>
        <v>-6</v>
      </c>
    </row>
    <row r="45" spans="1:12" x14ac:dyDescent="0.2">
      <c r="A45" t="s">
        <v>48</v>
      </c>
      <c r="B45">
        <f>_xlfn.XLOOKUP(Tabelle21[[#This Row],[SKU_ID]],Tabelle6[SKU_ID],Tabelle6[Safety_Stock_units],"-",0)</f>
        <v>23</v>
      </c>
      <c r="C45">
        <f>_xlfn.XLOOKUP(Tabelle21[[#This Row],[SKU_ID]],Table_Inv_Opt[SKU_ID],Table_Inv_Opt[New_Safety_Stock],"-",0)-Tabelle21[[#This Row],[Old_Safety_Stock]]</f>
        <v>-11</v>
      </c>
      <c r="D45">
        <f>_xlfn.XLOOKUP(Tabelle21[[#This Row],[SKU_ID]],Tabelle6[SKU_ID],Tabelle6[Reorder_Point_units],"-",0)</f>
        <v>38</v>
      </c>
      <c r="E45">
        <f>_xlfn.XLOOKUP(Tabelle21[[#This Row],[SKU_ID]],Table_Inv_Opt[SKU_ID],Table_Inv_Opt[New_ROP],"-",0)-Tabelle21[[#This Row],[Old_ROP]]</f>
        <v>-11</v>
      </c>
      <c r="F45">
        <f>_xlfn.XLOOKUP(Tabelle21[[#This Row],[SKU_ID]],Tabelle6[SKU_ID],Tabelle6[Reorder_Qty_units],"-",0)</f>
        <v>69</v>
      </c>
      <c r="G45">
        <f>_xlfn.XLOOKUP(Tabelle21[[#This Row],[SKU_ID]],Table_Inv_Opt[SKU_ID],Table_Inv_Opt[EOQ],"-",0)-Tabelle21[[#This Row],[Old_Order_qty]]</f>
        <v>13</v>
      </c>
    </row>
    <row r="46" spans="1:12" x14ac:dyDescent="0.2">
      <c r="A46" t="s">
        <v>51</v>
      </c>
      <c r="B46">
        <f>_xlfn.XLOOKUP(Tabelle21[[#This Row],[SKU_ID]],Tabelle6[SKU_ID],Tabelle6[Safety_Stock_units],"-",0)</f>
        <v>3</v>
      </c>
      <c r="C46">
        <f>_xlfn.XLOOKUP(Tabelle21[[#This Row],[SKU_ID]],Table_Inv_Opt[SKU_ID],Table_Inv_Opt[New_Safety_Stock],"-",0)-Tabelle21[[#This Row],[Old_Safety_Stock]]</f>
        <v>1</v>
      </c>
      <c r="D46">
        <f>_xlfn.XLOOKUP(Tabelle21[[#This Row],[SKU_ID]],Tabelle6[SKU_ID],Tabelle6[Reorder_Point_units],"-",0)</f>
        <v>9</v>
      </c>
      <c r="E46">
        <f>_xlfn.XLOOKUP(Tabelle21[[#This Row],[SKU_ID]],Table_Inv_Opt[SKU_ID],Table_Inv_Opt[New_ROP],"-",0)-Tabelle21[[#This Row],[Old_ROP]]</f>
        <v>1</v>
      </c>
      <c r="F46">
        <f>_xlfn.XLOOKUP(Tabelle21[[#This Row],[SKU_ID]],Tabelle6[SKU_ID],Tabelle6[Reorder_Qty_units],"-",0)</f>
        <v>39</v>
      </c>
      <c r="G46">
        <f>_xlfn.XLOOKUP(Tabelle21[[#This Row],[SKU_ID]],Table_Inv_Opt[SKU_ID],Table_Inv_Opt[EOQ],"-",0)-Tabelle21[[#This Row],[Old_Order_qty]]</f>
        <v>2</v>
      </c>
    </row>
    <row r="47" spans="1:12" x14ac:dyDescent="0.2">
      <c r="A47" t="s">
        <v>53</v>
      </c>
      <c r="B47">
        <f>_xlfn.XLOOKUP(Tabelle21[[#This Row],[SKU_ID]],Tabelle6[SKU_ID],Tabelle6[Safety_Stock_units],"-",0)</f>
        <v>7</v>
      </c>
      <c r="C47">
        <f>_xlfn.XLOOKUP(Tabelle21[[#This Row],[SKU_ID]],Table_Inv_Opt[SKU_ID],Table_Inv_Opt[New_Safety_Stock],"-",0)-Tabelle21[[#This Row],[Old_Safety_Stock]]</f>
        <v>-3</v>
      </c>
      <c r="D47">
        <f>_xlfn.XLOOKUP(Tabelle21[[#This Row],[SKU_ID]],Tabelle6[SKU_ID],Tabelle6[Reorder_Point_units],"-",0)</f>
        <v>10</v>
      </c>
      <c r="E47">
        <f>_xlfn.XLOOKUP(Tabelle21[[#This Row],[SKU_ID]],Table_Inv_Opt[SKU_ID],Table_Inv_Opt[New_ROP],"-",0)-Tabelle21[[#This Row],[Old_ROP]]</f>
        <v>-2</v>
      </c>
      <c r="F47">
        <f>_xlfn.XLOOKUP(Tabelle21[[#This Row],[SKU_ID]],Tabelle6[SKU_ID],Tabelle6[Reorder_Qty_units],"-",0)</f>
        <v>15</v>
      </c>
      <c r="G47">
        <f>_xlfn.XLOOKUP(Tabelle21[[#This Row],[SKU_ID]],Table_Inv_Opt[SKU_ID],Table_Inv_Opt[EOQ],"-",0)-Tabelle21[[#This Row],[Old_Order_qty]]</f>
        <v>-9</v>
      </c>
    </row>
    <row r="48" spans="1:12" x14ac:dyDescent="0.2">
      <c r="A48" t="s">
        <v>57</v>
      </c>
      <c r="B48">
        <f>_xlfn.XLOOKUP(Tabelle21[[#This Row],[SKU_ID]],Tabelle6[SKU_ID],Tabelle6[Safety_Stock_units],"-",0)</f>
        <v>2</v>
      </c>
      <c r="C48">
        <f>_xlfn.XLOOKUP(Tabelle21[[#This Row],[SKU_ID]],Table_Inv_Opt[SKU_ID],Table_Inv_Opt[New_Safety_Stock],"-",0)-Tabelle21[[#This Row],[Old_Safety_Stock]]</f>
        <v>0</v>
      </c>
      <c r="D48">
        <f>_xlfn.XLOOKUP(Tabelle21[[#This Row],[SKU_ID]],Tabelle6[SKU_ID],Tabelle6[Reorder_Point_units],"-",0)</f>
        <v>3</v>
      </c>
      <c r="E48">
        <f>_xlfn.XLOOKUP(Tabelle21[[#This Row],[SKU_ID]],Table_Inv_Opt[SKU_ID],Table_Inv_Opt[New_ROP],"-",0)-Tabelle21[[#This Row],[Old_ROP]]</f>
        <v>1</v>
      </c>
      <c r="F48">
        <f>_xlfn.XLOOKUP(Tabelle21[[#This Row],[SKU_ID]],Tabelle6[SKU_ID],Tabelle6[Reorder_Qty_units],"-",0)</f>
        <v>2</v>
      </c>
      <c r="G48">
        <f>_xlfn.XLOOKUP(Tabelle21[[#This Row],[SKU_ID]],Table_Inv_Opt[SKU_ID],Table_Inv_Opt[EOQ],"-",0)-Tabelle21[[#This Row],[Old_Order_qty]]</f>
        <v>1</v>
      </c>
    </row>
    <row r="49" spans="1:7" x14ac:dyDescent="0.2">
      <c r="A49" t="s">
        <v>59</v>
      </c>
      <c r="B49">
        <f>_xlfn.XLOOKUP(Tabelle21[[#This Row],[SKU_ID]],Tabelle6[SKU_ID],Tabelle6[Safety_Stock_units],"-",0)</f>
        <v>7</v>
      </c>
      <c r="C49">
        <f>_xlfn.XLOOKUP(Tabelle21[[#This Row],[SKU_ID]],Table_Inv_Opt[SKU_ID],Table_Inv_Opt[New_Safety_Stock],"-",0)-Tabelle21[[#This Row],[Old_Safety_Stock]]</f>
        <v>-1</v>
      </c>
      <c r="D49">
        <f>_xlfn.XLOOKUP(Tabelle21[[#This Row],[SKU_ID]],Tabelle6[SKU_ID],Tabelle6[Reorder_Point_units],"-",0)</f>
        <v>14</v>
      </c>
      <c r="E49">
        <f>_xlfn.XLOOKUP(Tabelle21[[#This Row],[SKU_ID]],Table_Inv_Opt[SKU_ID],Table_Inv_Opt[New_ROP],"-",0)-Tabelle21[[#This Row],[Old_ROP]]</f>
        <v>-1</v>
      </c>
      <c r="F49">
        <f>_xlfn.XLOOKUP(Tabelle21[[#This Row],[SKU_ID]],Tabelle6[SKU_ID],Tabelle6[Reorder_Qty_units],"-",0)</f>
        <v>30</v>
      </c>
      <c r="G49">
        <f>_xlfn.XLOOKUP(Tabelle21[[#This Row],[SKU_ID]],Table_Inv_Opt[SKU_ID],Table_Inv_Opt[EOQ],"-",0)-Tabelle21[[#This Row],[Old_Order_qty]]</f>
        <v>-9</v>
      </c>
    </row>
    <row r="50" spans="1:7" x14ac:dyDescent="0.2">
      <c r="A50" t="s">
        <v>61</v>
      </c>
      <c r="B50">
        <f>_xlfn.XLOOKUP(Tabelle21[[#This Row],[SKU_ID]],Tabelle6[SKU_ID],Tabelle6[Safety_Stock_units],"-",0)</f>
        <v>13</v>
      </c>
      <c r="C50">
        <f>_xlfn.XLOOKUP(Tabelle21[[#This Row],[SKU_ID]],Table_Inv_Opt[SKU_ID],Table_Inv_Opt[New_Safety_Stock],"-",0)-Tabelle21[[#This Row],[Old_Safety_Stock]]</f>
        <v>-7</v>
      </c>
      <c r="D50">
        <f>_xlfn.XLOOKUP(Tabelle21[[#This Row],[SKU_ID]],Tabelle6[SKU_ID],Tabelle6[Reorder_Point_units],"-",0)</f>
        <v>19</v>
      </c>
      <c r="E50">
        <f>_xlfn.XLOOKUP(Tabelle21[[#This Row],[SKU_ID]],Table_Inv_Opt[SKU_ID],Table_Inv_Opt[New_ROP],"-",0)-Tabelle21[[#This Row],[Old_ROP]]</f>
        <v>-6</v>
      </c>
      <c r="F50">
        <f>_xlfn.XLOOKUP(Tabelle21[[#This Row],[SKU_ID]],Tabelle6[SKU_ID],Tabelle6[Reorder_Qty_units],"-",0)</f>
        <v>24</v>
      </c>
      <c r="G50">
        <f>_xlfn.XLOOKUP(Tabelle21[[#This Row],[SKU_ID]],Table_Inv_Opt[SKU_ID],Table_Inv_Opt[EOQ],"-",0)-Tabelle21[[#This Row],[Old_Order_qty]]</f>
        <v>7</v>
      </c>
    </row>
    <row r="51" spans="1:7" x14ac:dyDescent="0.2">
      <c r="A51" t="s">
        <v>64</v>
      </c>
      <c r="B51">
        <f>_xlfn.XLOOKUP(Tabelle21[[#This Row],[SKU_ID]],Tabelle6[SKU_ID],Tabelle6[Safety_Stock_units],"-",0)</f>
        <v>3</v>
      </c>
      <c r="C51">
        <f>_xlfn.XLOOKUP(Tabelle21[[#This Row],[SKU_ID]],Table_Inv_Opt[SKU_ID],Table_Inv_Opt[New_Safety_Stock],"-",0)-Tabelle21[[#This Row],[Old_Safety_Stock]]</f>
        <v>0</v>
      </c>
      <c r="D51">
        <f>_xlfn.XLOOKUP(Tabelle21[[#This Row],[SKU_ID]],Tabelle6[SKU_ID],Tabelle6[Reorder_Point_units],"-",0)</f>
        <v>7</v>
      </c>
      <c r="E51">
        <f>_xlfn.XLOOKUP(Tabelle21[[#This Row],[SKU_ID]],Table_Inv_Opt[SKU_ID],Table_Inv_Opt[New_ROP],"-",0)-Tabelle21[[#This Row],[Old_ROP]]</f>
        <v>0</v>
      </c>
      <c r="F51">
        <f>_xlfn.XLOOKUP(Tabelle21[[#This Row],[SKU_ID]],Tabelle6[SKU_ID],Tabelle6[Reorder_Qty_units],"-",0)</f>
        <v>36</v>
      </c>
      <c r="G51">
        <f>_xlfn.XLOOKUP(Tabelle21[[#This Row],[SKU_ID]],Table_Inv_Opt[SKU_ID],Table_Inv_Opt[EOQ],"-",0)-Tabelle21[[#This Row],[Old_Order_qty]]</f>
        <v>5</v>
      </c>
    </row>
    <row r="52" spans="1:7" x14ac:dyDescent="0.2">
      <c r="A52" t="s">
        <v>67</v>
      </c>
      <c r="B52">
        <f>_xlfn.XLOOKUP(Tabelle21[[#This Row],[SKU_ID]],Tabelle6[SKU_ID],Tabelle6[Safety_Stock_units],"-",0)</f>
        <v>2</v>
      </c>
      <c r="C52">
        <f>_xlfn.XLOOKUP(Tabelle21[[#This Row],[SKU_ID]],Table_Inv_Opt[SKU_ID],Table_Inv_Opt[New_Safety_Stock],"-",0)-Tabelle21[[#This Row],[Old_Safety_Stock]]</f>
        <v>2</v>
      </c>
      <c r="D52">
        <f>_xlfn.XLOOKUP(Tabelle21[[#This Row],[SKU_ID]],Tabelle6[SKU_ID],Tabelle6[Reorder_Point_units],"-",0)</f>
        <v>7</v>
      </c>
      <c r="E52">
        <f>_xlfn.XLOOKUP(Tabelle21[[#This Row],[SKU_ID]],Table_Inv_Opt[SKU_ID],Table_Inv_Opt[New_ROP],"-",0)-Tabelle21[[#This Row],[Old_ROP]]</f>
        <v>2</v>
      </c>
      <c r="F52">
        <f>_xlfn.XLOOKUP(Tabelle21[[#This Row],[SKU_ID]],Tabelle6[SKU_ID],Tabelle6[Reorder_Qty_units],"-",0)</f>
        <v>18</v>
      </c>
      <c r="G52">
        <f>_xlfn.XLOOKUP(Tabelle21[[#This Row],[SKU_ID]],Table_Inv_Opt[SKU_ID],Table_Inv_Opt[EOQ],"-",0)-Tabelle21[[#This Row],[Old_Order_qty]]</f>
        <v>-2</v>
      </c>
    </row>
    <row r="53" spans="1:7" x14ac:dyDescent="0.2">
      <c r="A53" t="s">
        <v>71</v>
      </c>
      <c r="B53">
        <f>_xlfn.XLOOKUP(Tabelle21[[#This Row],[SKU_ID]],Tabelle6[SKU_ID],Tabelle6[Safety_Stock_units],"-",0)</f>
        <v>12</v>
      </c>
      <c r="C53">
        <f>_xlfn.XLOOKUP(Tabelle21[[#This Row],[SKU_ID]],Table_Inv_Opt[SKU_ID],Table_Inv_Opt[New_Safety_Stock],"-",0)-Tabelle21[[#This Row],[Old_Safety_Stock]]</f>
        <v>-5</v>
      </c>
      <c r="D53">
        <f>_xlfn.XLOOKUP(Tabelle21[[#This Row],[SKU_ID]],Tabelle6[SKU_ID],Tabelle6[Reorder_Point_units],"-",0)</f>
        <v>20</v>
      </c>
      <c r="E53">
        <f>_xlfn.XLOOKUP(Tabelle21[[#This Row],[SKU_ID]],Table_Inv_Opt[SKU_ID],Table_Inv_Opt[New_ROP],"-",0)-Tabelle21[[#This Row],[Old_ROP]]</f>
        <v>-5</v>
      </c>
      <c r="F53">
        <f>_xlfn.XLOOKUP(Tabelle21[[#This Row],[SKU_ID]],Tabelle6[SKU_ID],Tabelle6[Reorder_Qty_units],"-",0)</f>
        <v>20</v>
      </c>
      <c r="G53">
        <f>_xlfn.XLOOKUP(Tabelle21[[#This Row],[SKU_ID]],Table_Inv_Opt[SKU_ID],Table_Inv_Opt[EOQ],"-",0)-Tabelle21[[#This Row],[Old_Order_qty]]</f>
        <v>18</v>
      </c>
    </row>
    <row r="54" spans="1:7" x14ac:dyDescent="0.2">
      <c r="A54" t="s">
        <v>74</v>
      </c>
      <c r="B54">
        <f>_xlfn.XLOOKUP(Tabelle21[[#This Row],[SKU_ID]],Tabelle6[SKU_ID],Tabelle6[Safety_Stock_units],"-",0)</f>
        <v>22</v>
      </c>
      <c r="C54">
        <f>_xlfn.XLOOKUP(Tabelle21[[#This Row],[SKU_ID]],Table_Inv_Opt[SKU_ID],Table_Inv_Opt[New_Safety_Stock],"-",0)-Tabelle21[[#This Row],[Old_Safety_Stock]]</f>
        <v>-14</v>
      </c>
      <c r="D54">
        <f>_xlfn.XLOOKUP(Tabelle21[[#This Row],[SKU_ID]],Tabelle6[SKU_ID],Tabelle6[Reorder_Point_units],"-",0)</f>
        <v>33</v>
      </c>
      <c r="E54">
        <f>_xlfn.XLOOKUP(Tabelle21[[#This Row],[SKU_ID]],Table_Inv_Opt[SKU_ID],Table_Inv_Opt[New_ROP],"-",0)-Tabelle21[[#This Row],[Old_ROP]]</f>
        <v>-14</v>
      </c>
      <c r="F54">
        <f>_xlfn.XLOOKUP(Tabelle21[[#This Row],[SKU_ID]],Tabelle6[SKU_ID],Tabelle6[Reorder_Qty_units],"-",0)</f>
        <v>24</v>
      </c>
      <c r="G54">
        <f>_xlfn.XLOOKUP(Tabelle21[[#This Row],[SKU_ID]],Table_Inv_Opt[SKU_ID],Table_Inv_Opt[EOQ],"-",0)-Tabelle21[[#This Row],[Old_Order_qty]]</f>
        <v>30</v>
      </c>
    </row>
    <row r="55" spans="1:7" x14ac:dyDescent="0.2">
      <c r="A55" t="s">
        <v>76</v>
      </c>
      <c r="B55">
        <f>_xlfn.XLOOKUP(Tabelle21[[#This Row],[SKU_ID]],Tabelle6[SKU_ID],Tabelle6[Safety_Stock_units],"-",0)</f>
        <v>20</v>
      </c>
      <c r="C55">
        <f>_xlfn.XLOOKUP(Tabelle21[[#This Row],[SKU_ID]],Table_Inv_Opt[SKU_ID],Table_Inv_Opt[New_Safety_Stock],"-",0)-Tabelle21[[#This Row],[Old_Safety_Stock]]</f>
        <v>-10</v>
      </c>
      <c r="D55">
        <f>_xlfn.XLOOKUP(Tabelle21[[#This Row],[SKU_ID]],Tabelle6[SKU_ID],Tabelle6[Reorder_Point_units],"-",0)</f>
        <v>34</v>
      </c>
      <c r="E55">
        <f>_xlfn.XLOOKUP(Tabelle21[[#This Row],[SKU_ID]],Table_Inv_Opt[SKU_ID],Table_Inv_Opt[New_ROP],"-",0)-Tabelle21[[#This Row],[Old_ROP]]</f>
        <v>-10</v>
      </c>
      <c r="F55">
        <f>_xlfn.XLOOKUP(Tabelle21[[#This Row],[SKU_ID]],Tabelle6[SKU_ID],Tabelle6[Reorder_Qty_units],"-",0)</f>
        <v>174</v>
      </c>
      <c r="G55">
        <f>_xlfn.XLOOKUP(Tabelle21[[#This Row],[SKU_ID]],Table_Inv_Opt[SKU_ID],Table_Inv_Opt[EOQ],"-",0)-Tabelle21[[#This Row],[Old_Order_qty]]</f>
        <v>-32</v>
      </c>
    </row>
    <row r="56" spans="1:7" x14ac:dyDescent="0.2">
      <c r="A56" t="s">
        <v>79</v>
      </c>
      <c r="B56">
        <f>_xlfn.XLOOKUP(Tabelle21[[#This Row],[SKU_ID]],Tabelle6[SKU_ID],Tabelle6[Safety_Stock_units],"-",0)</f>
        <v>5</v>
      </c>
      <c r="C56">
        <f>_xlfn.XLOOKUP(Tabelle21[[#This Row],[SKU_ID]],Table_Inv_Opt[SKU_ID],Table_Inv_Opt[New_Safety_Stock],"-",0)-Tabelle21[[#This Row],[Old_Safety_Stock]]</f>
        <v>7</v>
      </c>
      <c r="D56">
        <f>_xlfn.XLOOKUP(Tabelle21[[#This Row],[SKU_ID]],Tabelle6[SKU_ID],Tabelle6[Reorder_Point_units],"-",0)</f>
        <v>14</v>
      </c>
      <c r="E56">
        <f>_xlfn.XLOOKUP(Tabelle21[[#This Row],[SKU_ID]],Table_Inv_Opt[SKU_ID],Table_Inv_Opt[New_ROP],"-",0)-Tabelle21[[#This Row],[Old_ROP]]</f>
        <v>7</v>
      </c>
      <c r="F56">
        <f>_xlfn.XLOOKUP(Tabelle21[[#This Row],[SKU_ID]],Tabelle6[SKU_ID],Tabelle6[Reorder_Qty_units],"-",0)</f>
        <v>84</v>
      </c>
      <c r="G56">
        <f>_xlfn.XLOOKUP(Tabelle21[[#This Row],[SKU_ID]],Table_Inv_Opt[SKU_ID],Table_Inv_Opt[EOQ],"-",0)-Tabelle21[[#This Row],[Old_Order_qty]]</f>
        <v>-37</v>
      </c>
    </row>
    <row r="57" spans="1:7" x14ac:dyDescent="0.2">
      <c r="A57" t="s">
        <v>83</v>
      </c>
      <c r="B57">
        <f>_xlfn.XLOOKUP(Tabelle21[[#This Row],[SKU_ID]],Tabelle6[SKU_ID],Tabelle6[Safety_Stock_units],"-",0)</f>
        <v>8</v>
      </c>
      <c r="C57">
        <f>_xlfn.XLOOKUP(Tabelle21[[#This Row],[SKU_ID]],Table_Inv_Opt[SKU_ID],Table_Inv_Opt[New_Safety_Stock],"-",0)-Tabelle21[[#This Row],[Old_Safety_Stock]]</f>
        <v>2</v>
      </c>
      <c r="D57">
        <f>_xlfn.XLOOKUP(Tabelle21[[#This Row],[SKU_ID]],Tabelle6[SKU_ID],Tabelle6[Reorder_Point_units],"-",0)</f>
        <v>16</v>
      </c>
      <c r="E57">
        <f>_xlfn.XLOOKUP(Tabelle21[[#This Row],[SKU_ID]],Table_Inv_Opt[SKU_ID],Table_Inv_Opt[New_ROP],"-",0)-Tabelle21[[#This Row],[Old_ROP]]</f>
        <v>1</v>
      </c>
      <c r="F57">
        <f>_xlfn.XLOOKUP(Tabelle21[[#This Row],[SKU_ID]],Tabelle6[SKU_ID],Tabelle6[Reorder_Qty_units],"-",0)</f>
        <v>69</v>
      </c>
      <c r="G57">
        <f>_xlfn.XLOOKUP(Tabelle21[[#This Row],[SKU_ID]],Table_Inv_Opt[SKU_ID],Table_Inv_Opt[EOQ],"-",0)-Tabelle21[[#This Row],[Old_Order_qty]]</f>
        <v>-30</v>
      </c>
    </row>
    <row r="58" spans="1:7" x14ac:dyDescent="0.2">
      <c r="A58" t="s">
        <v>85</v>
      </c>
      <c r="B58">
        <f>_xlfn.XLOOKUP(Tabelle21[[#This Row],[SKU_ID]],Tabelle6[SKU_ID],Tabelle6[Safety_Stock_units],"-",0)</f>
        <v>1</v>
      </c>
      <c r="C58">
        <f>_xlfn.XLOOKUP(Tabelle21[[#This Row],[SKU_ID]],Table_Inv_Opt[SKU_ID],Table_Inv_Opt[New_Safety_Stock],"-",0)-Tabelle21[[#This Row],[Old_Safety_Stock]]</f>
        <v>3</v>
      </c>
      <c r="D58">
        <f>_xlfn.XLOOKUP(Tabelle21[[#This Row],[SKU_ID]],Tabelle6[SKU_ID],Tabelle6[Reorder_Point_units],"-",0)</f>
        <v>3</v>
      </c>
      <c r="E58">
        <f>_xlfn.XLOOKUP(Tabelle21[[#This Row],[SKU_ID]],Table_Inv_Opt[SKU_ID],Table_Inv_Opt[New_ROP],"-",0)-Tabelle21[[#This Row],[Old_ROP]]</f>
        <v>4</v>
      </c>
      <c r="F58">
        <f>_xlfn.XLOOKUP(Tabelle21[[#This Row],[SKU_ID]],Tabelle6[SKU_ID],Tabelle6[Reorder_Qty_units],"-",0)</f>
        <v>4</v>
      </c>
      <c r="G58">
        <f>_xlfn.XLOOKUP(Tabelle21[[#This Row],[SKU_ID]],Table_Inv_Opt[SKU_ID],Table_Inv_Opt[EOQ],"-",0)-Tabelle21[[#This Row],[Old_Order_qty]]</f>
        <v>5</v>
      </c>
    </row>
    <row r="59" spans="1:7" x14ac:dyDescent="0.2">
      <c r="A59" t="s">
        <v>88</v>
      </c>
      <c r="B59">
        <f>_xlfn.XLOOKUP(Tabelle21[[#This Row],[SKU_ID]],Tabelle6[SKU_ID],Tabelle6[Safety_Stock_units],"-",0)</f>
        <v>1</v>
      </c>
      <c r="C59">
        <f>_xlfn.XLOOKUP(Tabelle21[[#This Row],[SKU_ID]],Table_Inv_Opt[SKU_ID],Table_Inv_Opt[New_Safety_Stock],"-",0)-Tabelle21[[#This Row],[Old_Safety_Stock]]</f>
        <v>2</v>
      </c>
      <c r="D59">
        <f>_xlfn.XLOOKUP(Tabelle21[[#This Row],[SKU_ID]],Tabelle6[SKU_ID],Tabelle6[Reorder_Point_units],"-",0)</f>
        <v>2</v>
      </c>
      <c r="E59">
        <f>_xlfn.XLOOKUP(Tabelle21[[#This Row],[SKU_ID]],Table_Inv_Opt[SKU_ID],Table_Inv_Opt[New_ROP],"-",0)-Tabelle21[[#This Row],[Old_ROP]]</f>
        <v>3</v>
      </c>
      <c r="F59">
        <f>_xlfn.XLOOKUP(Tabelle21[[#This Row],[SKU_ID]],Tabelle6[SKU_ID],Tabelle6[Reorder_Qty_units],"-",0)</f>
        <v>2</v>
      </c>
      <c r="G59">
        <f>_xlfn.XLOOKUP(Tabelle21[[#This Row],[SKU_ID]],Table_Inv_Opt[SKU_ID],Table_Inv_Opt[EOQ],"-",0)-Tabelle21[[#This Row],[Old_Order_qty]]</f>
        <v>4</v>
      </c>
    </row>
    <row r="60" spans="1:7" x14ac:dyDescent="0.2">
      <c r="A60" t="s">
        <v>91</v>
      </c>
      <c r="B60">
        <f>_xlfn.XLOOKUP(Tabelle21[[#This Row],[SKU_ID]],Tabelle6[SKU_ID],Tabelle6[Safety_Stock_units],"-",0)</f>
        <v>7</v>
      </c>
      <c r="C60">
        <f>_xlfn.XLOOKUP(Tabelle21[[#This Row],[SKU_ID]],Table_Inv_Opt[SKU_ID],Table_Inv_Opt[New_Safety_Stock],"-",0)-Tabelle21[[#This Row],[Old_Safety_Stock]]</f>
        <v>1</v>
      </c>
      <c r="D60">
        <f>_xlfn.XLOOKUP(Tabelle21[[#This Row],[SKU_ID]],Tabelle6[SKU_ID],Tabelle6[Reorder_Point_units],"-",0)</f>
        <v>21</v>
      </c>
      <c r="E60">
        <f>_xlfn.XLOOKUP(Tabelle21[[#This Row],[SKU_ID]],Table_Inv_Opt[SKU_ID],Table_Inv_Opt[New_ROP],"-",0)-Tabelle21[[#This Row],[Old_ROP]]</f>
        <v>1</v>
      </c>
      <c r="F60">
        <f>_xlfn.XLOOKUP(Tabelle21[[#This Row],[SKU_ID]],Tabelle6[SKU_ID],Tabelle6[Reorder_Qty_units],"-",0)</f>
        <v>93</v>
      </c>
      <c r="G60">
        <f>_xlfn.XLOOKUP(Tabelle21[[#This Row],[SKU_ID]],Table_Inv_Opt[SKU_ID],Table_Inv_Opt[EOQ],"-",0)-Tabelle21[[#This Row],[Old_Order_qty]]</f>
        <v>77</v>
      </c>
    </row>
    <row r="61" spans="1:7" x14ac:dyDescent="0.2">
      <c r="A61" t="s">
        <v>95</v>
      </c>
      <c r="B61">
        <f>_xlfn.XLOOKUP(Tabelle21[[#This Row],[SKU_ID]],Tabelle6[SKU_ID],Tabelle6[Safety_Stock_units],"-",0)</f>
        <v>5</v>
      </c>
      <c r="C61">
        <f>_xlfn.XLOOKUP(Tabelle21[[#This Row],[SKU_ID]],Table_Inv_Opt[SKU_ID],Table_Inv_Opt[New_Safety_Stock],"-",0)-Tabelle21[[#This Row],[Old_Safety_Stock]]</f>
        <v>-1</v>
      </c>
      <c r="D61">
        <f>_xlfn.XLOOKUP(Tabelle21[[#This Row],[SKU_ID]],Tabelle6[SKU_ID],Tabelle6[Reorder_Point_units],"-",0)</f>
        <v>12</v>
      </c>
      <c r="E61">
        <f>_xlfn.XLOOKUP(Tabelle21[[#This Row],[SKU_ID]],Table_Inv_Opt[SKU_ID],Table_Inv_Opt[New_ROP],"-",0)-Tabelle21[[#This Row],[Old_ROP]]</f>
        <v>-1</v>
      </c>
      <c r="F61">
        <f>_xlfn.XLOOKUP(Tabelle21[[#This Row],[SKU_ID]],Tabelle6[SKU_ID],Tabelle6[Reorder_Qty_units],"-",0)</f>
        <v>29</v>
      </c>
      <c r="G61">
        <f>_xlfn.XLOOKUP(Tabelle21[[#This Row],[SKU_ID]],Table_Inv_Opt[SKU_ID],Table_Inv_Opt[EOQ],"-",0)-Tabelle21[[#This Row],[Old_Order_qty]]</f>
        <v>54</v>
      </c>
    </row>
    <row r="62" spans="1:7" x14ac:dyDescent="0.2">
      <c r="A62" t="s">
        <v>98</v>
      </c>
      <c r="B62">
        <f>_xlfn.XLOOKUP(Tabelle21[[#This Row],[SKU_ID]],Tabelle6[SKU_ID],Tabelle6[Safety_Stock_units],"-",0)</f>
        <v>8</v>
      </c>
      <c r="C62">
        <f>_xlfn.XLOOKUP(Tabelle21[[#This Row],[SKU_ID]],Table_Inv_Opt[SKU_ID],Table_Inv_Opt[New_Safety_Stock],"-",0)-Tabelle21[[#This Row],[Old_Safety_Stock]]</f>
        <v>-5</v>
      </c>
      <c r="D62">
        <f>_xlfn.XLOOKUP(Tabelle21[[#This Row],[SKU_ID]],Tabelle6[SKU_ID],Tabelle6[Reorder_Point_units],"-",0)</f>
        <v>13</v>
      </c>
      <c r="E62">
        <f>_xlfn.XLOOKUP(Tabelle21[[#This Row],[SKU_ID]],Table_Inv_Opt[SKU_ID],Table_Inv_Opt[New_ROP],"-",0)-Tabelle21[[#This Row],[Old_ROP]]</f>
        <v>-4</v>
      </c>
      <c r="F62">
        <f>_xlfn.XLOOKUP(Tabelle21[[#This Row],[SKU_ID]],Tabelle6[SKU_ID],Tabelle6[Reorder_Qty_units],"-",0)</f>
        <v>46</v>
      </c>
      <c r="G62">
        <f>_xlfn.XLOOKUP(Tabelle21[[#This Row],[SKU_ID]],Table_Inv_Opt[SKU_ID],Table_Inv_Opt[EOQ],"-",0)-Tabelle21[[#This Row],[Old_Order_qty]]</f>
        <v>47</v>
      </c>
    </row>
    <row r="63" spans="1:7" x14ac:dyDescent="0.2">
      <c r="A63" t="s">
        <v>101</v>
      </c>
      <c r="B63">
        <f>_xlfn.XLOOKUP(Tabelle21[[#This Row],[SKU_ID]],Tabelle6[SKU_ID],Tabelle6[Safety_Stock_units],"-",0)</f>
        <v>4</v>
      </c>
      <c r="C63">
        <f>_xlfn.XLOOKUP(Tabelle21[[#This Row],[SKU_ID]],Table_Inv_Opt[SKU_ID],Table_Inv_Opt[New_Safety_Stock],"-",0)-Tabelle21[[#This Row],[Old_Safety_Stock]]</f>
        <v>3</v>
      </c>
      <c r="D63">
        <f>_xlfn.XLOOKUP(Tabelle21[[#This Row],[SKU_ID]],Tabelle6[SKU_ID],Tabelle6[Reorder_Point_units],"-",0)</f>
        <v>9</v>
      </c>
      <c r="E63">
        <f>_xlfn.XLOOKUP(Tabelle21[[#This Row],[SKU_ID]],Table_Inv_Opt[SKU_ID],Table_Inv_Opt[New_ROP],"-",0)-Tabelle21[[#This Row],[Old_ROP]]</f>
        <v>4</v>
      </c>
      <c r="F63">
        <f>_xlfn.XLOOKUP(Tabelle21[[#This Row],[SKU_ID]],Tabelle6[SKU_ID],Tabelle6[Reorder_Qty_units],"-",0)</f>
        <v>6</v>
      </c>
      <c r="G63">
        <f>_xlfn.XLOOKUP(Tabelle21[[#This Row],[SKU_ID]],Table_Inv_Opt[SKU_ID],Table_Inv_Opt[EOQ],"-",0)-Tabelle21[[#This Row],[Old_Order_qty]]</f>
        <v>4</v>
      </c>
    </row>
    <row r="64" spans="1:7" x14ac:dyDescent="0.2">
      <c r="A64" t="s">
        <v>104</v>
      </c>
      <c r="B64">
        <f>_xlfn.XLOOKUP(Tabelle21[[#This Row],[SKU_ID]],Tabelle6[SKU_ID],Tabelle6[Safety_Stock_units],"-",0)</f>
        <v>1</v>
      </c>
      <c r="C64">
        <f>_xlfn.XLOOKUP(Tabelle21[[#This Row],[SKU_ID]],Table_Inv_Opt[SKU_ID],Table_Inv_Opt[New_Safety_Stock],"-",0)-Tabelle21[[#This Row],[Old_Safety_Stock]]</f>
        <v>2</v>
      </c>
      <c r="D64">
        <f>_xlfn.XLOOKUP(Tabelle21[[#This Row],[SKU_ID]],Tabelle6[SKU_ID],Tabelle6[Reorder_Point_units],"-",0)</f>
        <v>3</v>
      </c>
      <c r="E64">
        <f>_xlfn.XLOOKUP(Tabelle21[[#This Row],[SKU_ID]],Table_Inv_Opt[SKU_ID],Table_Inv_Opt[New_ROP],"-",0)-Tabelle21[[#This Row],[Old_ROP]]</f>
        <v>2</v>
      </c>
      <c r="F64">
        <f>_xlfn.XLOOKUP(Tabelle21[[#This Row],[SKU_ID]],Tabelle6[SKU_ID],Tabelle6[Reorder_Qty_units],"-",0)</f>
        <v>6</v>
      </c>
      <c r="G64">
        <f>_xlfn.XLOOKUP(Tabelle21[[#This Row],[SKU_ID]],Table_Inv_Opt[SKU_ID],Table_Inv_Opt[EOQ],"-",0)-Tabelle21[[#This Row],[Old_Order_qty]]</f>
        <v>-3</v>
      </c>
    </row>
    <row r="65" spans="1:7" x14ac:dyDescent="0.2">
      <c r="A65" t="s">
        <v>107</v>
      </c>
      <c r="B65">
        <f>_xlfn.XLOOKUP(Tabelle21[[#This Row],[SKU_ID]],Tabelle6[SKU_ID],Tabelle6[Safety_Stock_units],"-",0)</f>
        <v>10</v>
      </c>
      <c r="C65">
        <f>_xlfn.XLOOKUP(Tabelle21[[#This Row],[SKU_ID]],Table_Inv_Opt[SKU_ID],Table_Inv_Opt[New_Safety_Stock],"-",0)-Tabelle21[[#This Row],[Old_Safety_Stock]]</f>
        <v>-5</v>
      </c>
      <c r="D65">
        <f>_xlfn.XLOOKUP(Tabelle21[[#This Row],[SKU_ID]],Tabelle6[SKU_ID],Tabelle6[Reorder_Point_units],"-",0)</f>
        <v>15</v>
      </c>
      <c r="E65">
        <f>_xlfn.XLOOKUP(Tabelle21[[#This Row],[SKU_ID]],Table_Inv_Opt[SKU_ID],Table_Inv_Opt[New_ROP],"-",0)-Tabelle21[[#This Row],[Old_ROP]]</f>
        <v>-5</v>
      </c>
      <c r="F65">
        <f>_xlfn.XLOOKUP(Tabelle21[[#This Row],[SKU_ID]],Tabelle6[SKU_ID],Tabelle6[Reorder_Qty_units],"-",0)</f>
        <v>12</v>
      </c>
      <c r="G65">
        <f>_xlfn.XLOOKUP(Tabelle21[[#This Row],[SKU_ID]],Table_Inv_Opt[SKU_ID],Table_Inv_Opt[EOQ],"-",0)-Tabelle21[[#This Row],[Old_Order_qty]]</f>
        <v>3</v>
      </c>
    </row>
    <row r="66" spans="1:7" x14ac:dyDescent="0.2">
      <c r="A66" t="s">
        <v>110</v>
      </c>
      <c r="B66">
        <f>_xlfn.XLOOKUP(Tabelle21[[#This Row],[SKU_ID]],Tabelle6[SKU_ID],Tabelle6[Safety_Stock_units],"-",0)</f>
        <v>12</v>
      </c>
      <c r="C66">
        <f>_xlfn.XLOOKUP(Tabelle21[[#This Row],[SKU_ID]],Table_Inv_Opt[SKU_ID],Table_Inv_Opt[New_Safety_Stock],"-",0)-Tabelle21[[#This Row],[Old_Safety_Stock]]</f>
        <v>-8</v>
      </c>
      <c r="D66">
        <f>_xlfn.XLOOKUP(Tabelle21[[#This Row],[SKU_ID]],Tabelle6[SKU_ID],Tabelle6[Reorder_Point_units],"-",0)</f>
        <v>18</v>
      </c>
      <c r="E66">
        <f>_xlfn.XLOOKUP(Tabelle21[[#This Row],[SKU_ID]],Table_Inv_Opt[SKU_ID],Table_Inv_Opt[New_ROP],"-",0)-Tabelle21[[#This Row],[Old_ROP]]</f>
        <v>-8</v>
      </c>
      <c r="F66">
        <f>_xlfn.XLOOKUP(Tabelle21[[#This Row],[SKU_ID]],Tabelle6[SKU_ID],Tabelle6[Reorder_Qty_units],"-",0)</f>
        <v>26</v>
      </c>
      <c r="G66">
        <f>_xlfn.XLOOKUP(Tabelle21[[#This Row],[SKU_ID]],Table_Inv_Opt[SKU_ID],Table_Inv_Opt[EOQ],"-",0)-Tabelle21[[#This Row],[Old_Order_qty]]</f>
        <v>47</v>
      </c>
    </row>
    <row r="67" spans="1:7" x14ac:dyDescent="0.2">
      <c r="A67" t="s">
        <v>113</v>
      </c>
      <c r="B67">
        <f>_xlfn.XLOOKUP(Tabelle21[[#This Row],[SKU_ID]],Tabelle6[SKU_ID],Tabelle6[Safety_Stock_units],"-",0)</f>
        <v>4</v>
      </c>
      <c r="C67">
        <f>_xlfn.XLOOKUP(Tabelle21[[#This Row],[SKU_ID]],Table_Inv_Opt[SKU_ID],Table_Inv_Opt[New_Safety_Stock],"-",0)-Tabelle21[[#This Row],[Old_Safety_Stock]]</f>
        <v>0</v>
      </c>
      <c r="D67">
        <f>_xlfn.XLOOKUP(Tabelle21[[#This Row],[SKU_ID]],Tabelle6[SKU_ID],Tabelle6[Reorder_Point_units],"-",0)</f>
        <v>8</v>
      </c>
      <c r="E67">
        <f>_xlfn.XLOOKUP(Tabelle21[[#This Row],[SKU_ID]],Table_Inv_Opt[SKU_ID],Table_Inv_Opt[New_ROP],"-",0)-Tabelle21[[#This Row],[Old_ROP]]</f>
        <v>1</v>
      </c>
      <c r="F67">
        <f>_xlfn.XLOOKUP(Tabelle21[[#This Row],[SKU_ID]],Tabelle6[SKU_ID],Tabelle6[Reorder_Qty_units],"-",0)</f>
        <v>39</v>
      </c>
      <c r="G67">
        <f>_xlfn.XLOOKUP(Tabelle21[[#This Row],[SKU_ID]],Table_Inv_Opt[SKU_ID],Table_Inv_Opt[EOQ],"-",0)-Tabelle21[[#This Row],[Old_Order_qty]]</f>
        <v>-4</v>
      </c>
    </row>
    <row r="68" spans="1:7" x14ac:dyDescent="0.2">
      <c r="A68" t="s">
        <v>116</v>
      </c>
      <c r="B68">
        <f>_xlfn.XLOOKUP(Tabelle21[[#This Row],[SKU_ID]],Tabelle6[SKU_ID],Tabelle6[Safety_Stock_units],"-",0)</f>
        <v>2</v>
      </c>
      <c r="C68">
        <f>_xlfn.XLOOKUP(Tabelle21[[#This Row],[SKU_ID]],Table_Inv_Opt[SKU_ID],Table_Inv_Opt[New_Safety_Stock],"-",0)-Tabelle21[[#This Row],[Old_Safety_Stock]]</f>
        <v>3</v>
      </c>
      <c r="D68">
        <f>_xlfn.XLOOKUP(Tabelle21[[#This Row],[SKU_ID]],Tabelle6[SKU_ID],Tabelle6[Reorder_Point_units],"-",0)</f>
        <v>5</v>
      </c>
      <c r="E68">
        <f>_xlfn.XLOOKUP(Tabelle21[[#This Row],[SKU_ID]],Table_Inv_Opt[SKU_ID],Table_Inv_Opt[New_ROP],"-",0)-Tabelle21[[#This Row],[Old_ROP]]</f>
        <v>3</v>
      </c>
      <c r="F68">
        <f>_xlfn.XLOOKUP(Tabelle21[[#This Row],[SKU_ID]],Tabelle6[SKU_ID],Tabelle6[Reorder_Qty_units],"-",0)</f>
        <v>14</v>
      </c>
      <c r="G68">
        <f>_xlfn.XLOOKUP(Tabelle21[[#This Row],[SKU_ID]],Table_Inv_Opt[SKU_ID],Table_Inv_Opt[EOQ],"-",0)-Tabelle21[[#This Row],[Old_Order_qty]]</f>
        <v>2</v>
      </c>
    </row>
    <row r="69" spans="1:7" x14ac:dyDescent="0.2">
      <c r="A69" t="s">
        <v>120</v>
      </c>
      <c r="B69">
        <f>_xlfn.XLOOKUP(Tabelle21[[#This Row],[SKU_ID]],Tabelle6[SKU_ID],Tabelle6[Safety_Stock_units],"-",0)</f>
        <v>1</v>
      </c>
      <c r="C69">
        <f>_xlfn.XLOOKUP(Tabelle21[[#This Row],[SKU_ID]],Table_Inv_Opt[SKU_ID],Table_Inv_Opt[New_Safety_Stock],"-",0)-Tabelle21[[#This Row],[Old_Safety_Stock]]</f>
        <v>2</v>
      </c>
      <c r="D69">
        <f>_xlfn.XLOOKUP(Tabelle21[[#This Row],[SKU_ID]],Tabelle6[SKU_ID],Tabelle6[Reorder_Point_units],"-",0)</f>
        <v>4</v>
      </c>
      <c r="E69">
        <f>_xlfn.XLOOKUP(Tabelle21[[#This Row],[SKU_ID]],Table_Inv_Opt[SKU_ID],Table_Inv_Opt[New_ROP],"-",0)-Tabelle21[[#This Row],[Old_ROP]]</f>
        <v>2</v>
      </c>
      <c r="F69">
        <f>_xlfn.XLOOKUP(Tabelle21[[#This Row],[SKU_ID]],Tabelle6[SKU_ID],Tabelle6[Reorder_Qty_units],"-",0)</f>
        <v>12</v>
      </c>
      <c r="G69">
        <f>_xlfn.XLOOKUP(Tabelle21[[#This Row],[SKU_ID]],Table_Inv_Opt[SKU_ID],Table_Inv_Opt[EOQ],"-",0)-Tabelle21[[#This Row],[Old_Order_qty]]</f>
        <v>3</v>
      </c>
    </row>
    <row r="70" spans="1:7" x14ac:dyDescent="0.2">
      <c r="A70" t="s">
        <v>123</v>
      </c>
      <c r="B70">
        <f>_xlfn.XLOOKUP(Tabelle21[[#This Row],[SKU_ID]],Tabelle6[SKU_ID],Tabelle6[Safety_Stock_units],"-",0)</f>
        <v>3</v>
      </c>
      <c r="C70">
        <f>_xlfn.XLOOKUP(Tabelle21[[#This Row],[SKU_ID]],Table_Inv_Opt[SKU_ID],Table_Inv_Opt[New_Safety_Stock],"-",0)-Tabelle21[[#This Row],[Old_Safety_Stock]]</f>
        <v>0</v>
      </c>
      <c r="D70">
        <f>_xlfn.XLOOKUP(Tabelle21[[#This Row],[SKU_ID]],Tabelle6[SKU_ID],Tabelle6[Reorder_Point_units],"-",0)</f>
        <v>7</v>
      </c>
      <c r="E70">
        <f>_xlfn.XLOOKUP(Tabelle21[[#This Row],[SKU_ID]],Table_Inv_Opt[SKU_ID],Table_Inv_Opt[New_ROP],"-",0)-Tabelle21[[#This Row],[Old_ROP]]</f>
        <v>0</v>
      </c>
      <c r="F70">
        <f>_xlfn.XLOOKUP(Tabelle21[[#This Row],[SKU_ID]],Tabelle6[SKU_ID],Tabelle6[Reorder_Qty_units],"-",0)</f>
        <v>18</v>
      </c>
      <c r="G70">
        <f>_xlfn.XLOOKUP(Tabelle21[[#This Row],[SKU_ID]],Table_Inv_Opt[SKU_ID],Table_Inv_Opt[EOQ],"-",0)-Tabelle21[[#This Row],[Old_Order_qty]]</f>
        <v>6</v>
      </c>
    </row>
    <row r="71" spans="1:7" x14ac:dyDescent="0.2">
      <c r="A71" t="s">
        <v>126</v>
      </c>
      <c r="B71">
        <f>_xlfn.XLOOKUP(Tabelle21[[#This Row],[SKU_ID]],Tabelle6[SKU_ID],Tabelle6[Safety_Stock_units],"-",0)</f>
        <v>15</v>
      </c>
      <c r="C71">
        <f>_xlfn.XLOOKUP(Tabelle21[[#This Row],[SKU_ID]],Table_Inv_Opt[SKU_ID],Table_Inv_Opt[New_Safety_Stock],"-",0)-Tabelle21[[#This Row],[Old_Safety_Stock]]</f>
        <v>-8</v>
      </c>
      <c r="D71">
        <f>_xlfn.XLOOKUP(Tabelle21[[#This Row],[SKU_ID]],Tabelle6[SKU_ID],Tabelle6[Reorder_Point_units],"-",0)</f>
        <v>25</v>
      </c>
      <c r="E71">
        <f>_xlfn.XLOOKUP(Tabelle21[[#This Row],[SKU_ID]],Table_Inv_Opt[SKU_ID],Table_Inv_Opt[New_ROP],"-",0)-Tabelle21[[#This Row],[Old_ROP]]</f>
        <v>-8</v>
      </c>
      <c r="F71">
        <f>_xlfn.XLOOKUP(Tabelle21[[#This Row],[SKU_ID]],Tabelle6[SKU_ID],Tabelle6[Reorder_Qty_units],"-",0)</f>
        <v>44</v>
      </c>
      <c r="G71">
        <f>_xlfn.XLOOKUP(Tabelle21[[#This Row],[SKU_ID]],Table_Inv_Opt[SKU_ID],Table_Inv_Opt[EOQ],"-",0)-Tabelle21[[#This Row],[Old_Order_qty]]</f>
        <v>10</v>
      </c>
    </row>
    <row r="72" spans="1:7" x14ac:dyDescent="0.2">
      <c r="A72" t="s">
        <v>128</v>
      </c>
      <c r="B72">
        <f>_xlfn.XLOOKUP(Tabelle21[[#This Row],[SKU_ID]],Tabelle6[SKU_ID],Tabelle6[Safety_Stock_units],"-",0)</f>
        <v>4</v>
      </c>
      <c r="C72">
        <f>_xlfn.XLOOKUP(Tabelle21[[#This Row],[SKU_ID]],Table_Inv_Opt[SKU_ID],Table_Inv_Opt[New_Safety_Stock],"-",0)-Tabelle21[[#This Row],[Old_Safety_Stock]]</f>
        <v>0</v>
      </c>
      <c r="D72">
        <f>_xlfn.XLOOKUP(Tabelle21[[#This Row],[SKU_ID]],Tabelle6[SKU_ID],Tabelle6[Reorder_Point_units],"-",0)</f>
        <v>9</v>
      </c>
      <c r="E72">
        <f>_xlfn.XLOOKUP(Tabelle21[[#This Row],[SKU_ID]],Table_Inv_Opt[SKU_ID],Table_Inv_Opt[New_ROP],"-",0)-Tabelle21[[#This Row],[Old_ROP]]</f>
        <v>0</v>
      </c>
      <c r="F72">
        <f>_xlfn.XLOOKUP(Tabelle21[[#This Row],[SKU_ID]],Tabelle6[SKU_ID],Tabelle6[Reorder_Qty_units],"-",0)</f>
        <v>11</v>
      </c>
      <c r="G72">
        <f>_xlfn.XLOOKUP(Tabelle21[[#This Row],[SKU_ID]],Table_Inv_Opt[SKU_ID],Table_Inv_Opt[EOQ],"-",0)-Tabelle21[[#This Row],[Old_Order_qty]]</f>
        <v>18</v>
      </c>
    </row>
    <row r="73" spans="1:7" x14ac:dyDescent="0.2">
      <c r="A73" t="s">
        <v>130</v>
      </c>
      <c r="B73">
        <f>_xlfn.XLOOKUP(Tabelle21[[#This Row],[SKU_ID]],Tabelle6[SKU_ID],Tabelle6[Safety_Stock_units],"-",0)</f>
        <v>4</v>
      </c>
      <c r="C73">
        <f>_xlfn.XLOOKUP(Tabelle21[[#This Row],[SKU_ID]],Table_Inv_Opt[SKU_ID],Table_Inv_Opt[New_Safety_Stock],"-",0)-Tabelle21[[#This Row],[Old_Safety_Stock]]</f>
        <v>-1</v>
      </c>
      <c r="D73">
        <f>_xlfn.XLOOKUP(Tabelle21[[#This Row],[SKU_ID]],Tabelle6[SKU_ID],Tabelle6[Reorder_Point_units],"-",0)</f>
        <v>6</v>
      </c>
      <c r="E73">
        <f>_xlfn.XLOOKUP(Tabelle21[[#This Row],[SKU_ID]],Table_Inv_Opt[SKU_ID],Table_Inv_Opt[New_ROP],"-",0)-Tabelle21[[#This Row],[Old_ROP]]</f>
        <v>-1</v>
      </c>
      <c r="F73">
        <f>_xlfn.XLOOKUP(Tabelle21[[#This Row],[SKU_ID]],Tabelle6[SKU_ID],Tabelle6[Reorder_Qty_units],"-",0)</f>
        <v>18</v>
      </c>
      <c r="G73">
        <f>_xlfn.XLOOKUP(Tabelle21[[#This Row],[SKU_ID]],Table_Inv_Opt[SKU_ID],Table_Inv_Opt[EOQ],"-",0)-Tabelle21[[#This Row],[Old_Order_qty]]</f>
        <v>-7</v>
      </c>
    </row>
    <row r="74" spans="1:7" x14ac:dyDescent="0.2">
      <c r="A74" t="s">
        <v>133</v>
      </c>
      <c r="B74">
        <f>_xlfn.XLOOKUP(Tabelle21[[#This Row],[SKU_ID]],Tabelle6[SKU_ID],Tabelle6[Safety_Stock_units],"-",0)</f>
        <v>5</v>
      </c>
      <c r="C74">
        <f>_xlfn.XLOOKUP(Tabelle21[[#This Row],[SKU_ID]],Table_Inv_Opt[SKU_ID],Table_Inv_Opt[New_Safety_Stock],"-",0)-Tabelle21[[#This Row],[Old_Safety_Stock]]</f>
        <v>-1</v>
      </c>
      <c r="D74">
        <f>_xlfn.XLOOKUP(Tabelle21[[#This Row],[SKU_ID]],Tabelle6[SKU_ID],Tabelle6[Reorder_Point_units],"-",0)</f>
        <v>10</v>
      </c>
      <c r="E74">
        <f>_xlfn.XLOOKUP(Tabelle21[[#This Row],[SKU_ID]],Table_Inv_Opt[SKU_ID],Table_Inv_Opt[New_ROP],"-",0)-Tabelle21[[#This Row],[Old_ROP]]</f>
        <v>-1</v>
      </c>
      <c r="F74">
        <f>_xlfn.XLOOKUP(Tabelle21[[#This Row],[SKU_ID]],Tabelle6[SKU_ID],Tabelle6[Reorder_Qty_units],"-",0)</f>
        <v>21</v>
      </c>
      <c r="G74">
        <f>_xlfn.XLOOKUP(Tabelle21[[#This Row],[SKU_ID]],Table_Inv_Opt[SKU_ID],Table_Inv_Opt[EOQ],"-",0)-Tabelle21[[#This Row],[Old_Order_qty]]</f>
        <v>-5</v>
      </c>
    </row>
    <row r="75" spans="1:7" x14ac:dyDescent="0.2">
      <c r="A75" t="s">
        <v>135</v>
      </c>
      <c r="B75">
        <f>_xlfn.XLOOKUP(Tabelle21[[#This Row],[SKU_ID]],Tabelle6[SKU_ID],Tabelle6[Safety_Stock_units],"-",0)</f>
        <v>2</v>
      </c>
      <c r="C75">
        <f>_xlfn.XLOOKUP(Tabelle21[[#This Row],[SKU_ID]],Table_Inv_Opt[SKU_ID],Table_Inv_Opt[New_Safety_Stock],"-",0)-Tabelle21[[#This Row],[Old_Safety_Stock]]</f>
        <v>0</v>
      </c>
      <c r="D75">
        <f>_xlfn.XLOOKUP(Tabelle21[[#This Row],[SKU_ID]],Tabelle6[SKU_ID],Tabelle6[Reorder_Point_units],"-",0)</f>
        <v>4</v>
      </c>
      <c r="E75">
        <f>_xlfn.XLOOKUP(Tabelle21[[#This Row],[SKU_ID]],Table_Inv_Opt[SKU_ID],Table_Inv_Opt[New_ROP],"-",0)-Tabelle21[[#This Row],[Old_ROP]]</f>
        <v>0</v>
      </c>
      <c r="F75">
        <f>_xlfn.XLOOKUP(Tabelle21[[#This Row],[SKU_ID]],Tabelle6[SKU_ID],Tabelle6[Reorder_Qty_units],"-",0)</f>
        <v>18</v>
      </c>
      <c r="G75">
        <f>_xlfn.XLOOKUP(Tabelle21[[#This Row],[SKU_ID]],Table_Inv_Opt[SKU_ID],Table_Inv_Opt[EOQ],"-",0)-Tabelle21[[#This Row],[Old_Order_qty]]</f>
        <v>0</v>
      </c>
    </row>
    <row r="76" spans="1:7" x14ac:dyDescent="0.2">
      <c r="A76" t="s">
        <v>138</v>
      </c>
      <c r="B76">
        <f>_xlfn.XLOOKUP(Tabelle21[[#This Row],[SKU_ID]],Tabelle6[SKU_ID],Tabelle6[Safety_Stock_units],"-",0)</f>
        <v>2</v>
      </c>
      <c r="C76">
        <f>_xlfn.XLOOKUP(Tabelle21[[#This Row],[SKU_ID]],Table_Inv_Opt[SKU_ID],Table_Inv_Opt[New_Safety_Stock],"-",0)-Tabelle21[[#This Row],[Old_Safety_Stock]]</f>
        <v>0</v>
      </c>
      <c r="D76">
        <f>_xlfn.XLOOKUP(Tabelle21[[#This Row],[SKU_ID]],Tabelle6[SKU_ID],Tabelle6[Reorder_Point_units],"-",0)</f>
        <v>6</v>
      </c>
      <c r="E76">
        <f>_xlfn.XLOOKUP(Tabelle21[[#This Row],[SKU_ID]],Table_Inv_Opt[SKU_ID],Table_Inv_Opt[New_ROP],"-",0)-Tabelle21[[#This Row],[Old_ROP]]</f>
        <v>0</v>
      </c>
      <c r="F76">
        <f>_xlfn.XLOOKUP(Tabelle21[[#This Row],[SKU_ID]],Tabelle6[SKU_ID],Tabelle6[Reorder_Qty_units],"-",0)</f>
        <v>48</v>
      </c>
      <c r="G76">
        <f>_xlfn.XLOOKUP(Tabelle21[[#This Row],[SKU_ID]],Table_Inv_Opt[SKU_ID],Table_Inv_Opt[EOQ],"-",0)-Tabelle21[[#This Row],[Old_Order_qty]]</f>
        <v>1</v>
      </c>
    </row>
    <row r="77" spans="1:7" x14ac:dyDescent="0.2">
      <c r="A77" t="s">
        <v>141</v>
      </c>
      <c r="B77">
        <f>_xlfn.XLOOKUP(Tabelle21[[#This Row],[SKU_ID]],Tabelle6[SKU_ID],Tabelle6[Safety_Stock_units],"-",0)</f>
        <v>7</v>
      </c>
      <c r="C77">
        <f>_xlfn.XLOOKUP(Tabelle21[[#This Row],[SKU_ID]],Table_Inv_Opt[SKU_ID],Table_Inv_Opt[New_Safety_Stock],"-",0)-Tabelle21[[#This Row],[Old_Safety_Stock]]</f>
        <v>-4</v>
      </c>
      <c r="D77">
        <f>_xlfn.XLOOKUP(Tabelle21[[#This Row],[SKU_ID]],Tabelle6[SKU_ID],Tabelle6[Reorder_Point_units],"-",0)</f>
        <v>11</v>
      </c>
      <c r="E77">
        <f>_xlfn.XLOOKUP(Tabelle21[[#This Row],[SKU_ID]],Table_Inv_Opt[SKU_ID],Table_Inv_Opt[New_ROP],"-",0)-Tabelle21[[#This Row],[Old_ROP]]</f>
        <v>-4</v>
      </c>
      <c r="F77">
        <f>_xlfn.XLOOKUP(Tabelle21[[#This Row],[SKU_ID]],Tabelle6[SKU_ID],Tabelle6[Reorder_Qty_units],"-",0)</f>
        <v>16</v>
      </c>
      <c r="G77">
        <f>_xlfn.XLOOKUP(Tabelle21[[#This Row],[SKU_ID]],Table_Inv_Opt[SKU_ID],Table_Inv_Opt[EOQ],"-",0)-Tabelle21[[#This Row],[Old_Order_qty]]</f>
        <v>21</v>
      </c>
    </row>
    <row r="78" spans="1:7" x14ac:dyDescent="0.2">
      <c r="A78" t="s">
        <v>144</v>
      </c>
      <c r="B78">
        <f>_xlfn.XLOOKUP(Tabelle21[[#This Row],[SKU_ID]],Tabelle6[SKU_ID],Tabelle6[Safety_Stock_units],"-",0)</f>
        <v>7</v>
      </c>
      <c r="C78">
        <f>_xlfn.XLOOKUP(Tabelle21[[#This Row],[SKU_ID]],Table_Inv_Opt[SKU_ID],Table_Inv_Opt[New_Safety_Stock],"-",0)-Tabelle21[[#This Row],[Old_Safety_Stock]]</f>
        <v>-2</v>
      </c>
      <c r="D78">
        <f>_xlfn.XLOOKUP(Tabelle21[[#This Row],[SKU_ID]],Tabelle6[SKU_ID],Tabelle6[Reorder_Point_units],"-",0)</f>
        <v>12</v>
      </c>
      <c r="E78">
        <f>_xlfn.XLOOKUP(Tabelle21[[#This Row],[SKU_ID]],Table_Inv_Opt[SKU_ID],Table_Inv_Opt[New_ROP],"-",0)-Tabelle21[[#This Row],[Old_ROP]]</f>
        <v>-3</v>
      </c>
      <c r="F78">
        <f>_xlfn.XLOOKUP(Tabelle21[[#This Row],[SKU_ID]],Tabelle6[SKU_ID],Tabelle6[Reorder_Qty_units],"-",0)</f>
        <v>10</v>
      </c>
      <c r="G78">
        <f>_xlfn.XLOOKUP(Tabelle21[[#This Row],[SKU_ID]],Table_Inv_Opt[SKU_ID],Table_Inv_Opt[EOQ],"-",0)-Tabelle21[[#This Row],[Old_Order_qty]]</f>
        <v>14</v>
      </c>
    </row>
    <row r="79" spans="1:7" x14ac:dyDescent="0.2">
      <c r="A79" t="s">
        <v>146</v>
      </c>
      <c r="B79">
        <f>_xlfn.XLOOKUP(Tabelle21[[#This Row],[SKU_ID]],Tabelle6[SKU_ID],Tabelle6[Safety_Stock_units],"-",0)</f>
        <v>4</v>
      </c>
      <c r="C79">
        <f>_xlfn.XLOOKUP(Tabelle21[[#This Row],[SKU_ID]],Table_Inv_Opt[SKU_ID],Table_Inv_Opt[New_Safety_Stock],"-",0)-Tabelle21[[#This Row],[Old_Safety_Stock]]</f>
        <v>0</v>
      </c>
      <c r="D79">
        <f>_xlfn.XLOOKUP(Tabelle21[[#This Row],[SKU_ID]],Tabelle6[SKU_ID],Tabelle6[Reorder_Point_units],"-",0)</f>
        <v>8</v>
      </c>
      <c r="E79">
        <f>_xlfn.XLOOKUP(Tabelle21[[#This Row],[SKU_ID]],Table_Inv_Opt[SKU_ID],Table_Inv_Opt[New_ROP],"-",0)-Tabelle21[[#This Row],[Old_ROP]]</f>
        <v>0</v>
      </c>
      <c r="F79">
        <f>_xlfn.XLOOKUP(Tabelle21[[#This Row],[SKU_ID]],Tabelle6[SKU_ID],Tabelle6[Reorder_Qty_units],"-",0)</f>
        <v>39</v>
      </c>
      <c r="G79">
        <f>_xlfn.XLOOKUP(Tabelle21[[#This Row],[SKU_ID]],Table_Inv_Opt[SKU_ID],Table_Inv_Opt[EOQ],"-",0)-Tabelle21[[#This Row],[Old_Order_qty]]</f>
        <v>-7</v>
      </c>
    </row>
  </sheetData>
  <mergeCells count="7">
    <mergeCell ref="N2:P2"/>
    <mergeCell ref="N3:P3"/>
    <mergeCell ref="N4:P4"/>
    <mergeCell ref="N5:P5"/>
    <mergeCell ref="N6:P6"/>
    <mergeCell ref="N7:P7"/>
    <mergeCell ref="N1:Q1"/>
  </mergeCells>
  <conditionalFormatting sqref="C2:F39">
    <cfRule type="containsText" dxfId="8" priority="6" operator="containsText" text="BX">
      <formula>NOT(ISERROR(SEARCH("BX",C2)))</formula>
    </cfRule>
    <cfRule type="containsText" dxfId="7" priority="7" operator="containsText" text="CX">
      <formula>NOT(ISERROR(SEARCH("CX",C2)))</formula>
    </cfRule>
    <cfRule type="containsText" dxfId="6" priority="8" operator="containsText" text="BZ">
      <formula>NOT(ISERROR(SEARCH("BZ",C2)))</formula>
    </cfRule>
    <cfRule type="containsText" dxfId="5" priority="9" operator="containsText" text="CZ">
      <formula>NOT(ISERROR(SEARCH("CZ",C2)))</formula>
    </cfRule>
    <cfRule type="containsText" dxfId="4" priority="10" operator="containsText" text="CY">
      <formula>NOT(ISERROR(SEARCH("CY",C2)))</formula>
    </cfRule>
    <cfRule type="containsText" dxfId="3" priority="11" operator="containsText" text="BY">
      <formula>NOT(ISERROR(SEARCH("BY",C2)))</formula>
    </cfRule>
    <cfRule type="containsText" dxfId="2" priority="12" operator="containsText" text="AZ">
      <formula>NOT(ISERROR(SEARCH("AZ",C2)))</formula>
    </cfRule>
    <cfRule type="containsText" dxfId="1" priority="13" operator="containsText" text="AY">
      <formula>NOT(ISERROR(SEARCH("AY",C2)))</formula>
    </cfRule>
    <cfRule type="containsText" dxfId="0" priority="14" operator="containsText" text="AX">
      <formula>NOT(ISERROR(SEARCH("AX",C2)))</formula>
    </cfRule>
  </conditionalFormatting>
  <conditionalFormatting sqref="C42:C79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{33B8BC7E-D84B-0C4E-9D35-C67379748276}</x14:id>
        </ext>
      </extLst>
    </cfRule>
  </conditionalFormatting>
  <conditionalFormatting sqref="E42:E79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{5C4E6398-8944-0849-AB0D-598A251F9B38}</x14:id>
        </ext>
      </extLst>
    </cfRule>
  </conditionalFormatting>
  <conditionalFormatting sqref="G42:G79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{134FD9A9-DDB6-B147-B2DC-15DBED834BCA}</x14:id>
        </ext>
      </extLst>
    </cfRule>
  </conditionalFormatting>
  <conditionalFormatting sqref="Q18:Q20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8740157499999996" bottom="0.78740157499999996" header="0.3" footer="0.3"/>
  <tableParts count="3">
    <tablePart r:id="rId1"/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3B8BC7E-D84B-0C4E-9D35-C673797482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C42:C79</xm:sqref>
        </x14:conditionalFormatting>
        <x14:conditionalFormatting xmlns:xm="http://schemas.microsoft.com/office/excel/2006/main">
          <x14:cfRule type="dataBar" id="{5C4E6398-8944-0849-AB0D-598A251F9B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E42:E79</xm:sqref>
        </x14:conditionalFormatting>
        <x14:conditionalFormatting xmlns:xm="http://schemas.microsoft.com/office/excel/2006/main">
          <x14:cfRule type="dataBar" id="{134FD9A9-DDB6-B147-B2DC-15DBED834B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G42:G79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12FDA-9649-DE45-B852-FA366C05BCDA}">
  <dimension ref="A1:Q65"/>
  <sheetViews>
    <sheetView zoomScale="80" zoomScaleNormal="80" workbookViewId="0">
      <selection activeCell="L7" sqref="L7"/>
    </sheetView>
  </sheetViews>
  <sheetFormatPr baseColWidth="10" defaultRowHeight="15" x14ac:dyDescent="0.2"/>
  <cols>
    <col min="2" max="2" width="27.33203125" bestFit="1" customWidth="1"/>
    <col min="3" max="3" width="11.33203125" customWidth="1"/>
    <col min="4" max="4" width="12.6640625" bestFit="1" customWidth="1"/>
    <col min="11" max="11" width="14.5" bestFit="1" customWidth="1"/>
    <col min="12" max="12" width="27.33203125" bestFit="1" customWidth="1"/>
    <col min="13" max="13" width="26.33203125" bestFit="1" customWidth="1"/>
    <col min="14" max="14" width="13.33203125" bestFit="1" customWidth="1"/>
    <col min="15" max="15" width="13.1640625" bestFit="1" customWidth="1"/>
    <col min="16" max="16" width="15.6640625" bestFit="1" customWidth="1"/>
    <col min="17" max="17" width="51.1640625" customWidth="1"/>
  </cols>
  <sheetData>
    <row r="1" spans="1:17" ht="26" x14ac:dyDescent="0.3">
      <c r="A1" s="46" t="s">
        <v>599</v>
      </c>
    </row>
    <row r="4" spans="1:17" ht="21" x14ac:dyDescent="0.25">
      <c r="A4" s="47" t="s">
        <v>600</v>
      </c>
      <c r="B4" s="48"/>
      <c r="C4" s="48"/>
      <c r="D4" s="48"/>
      <c r="J4" s="52" t="s">
        <v>629</v>
      </c>
    </row>
    <row r="6" spans="1:17" x14ac:dyDescent="0.2">
      <c r="A6" s="49" t="s">
        <v>596</v>
      </c>
      <c r="B6" s="50"/>
      <c r="C6" s="50"/>
      <c r="D6" s="50"/>
      <c r="J6" t="s">
        <v>597</v>
      </c>
      <c r="K6" t="s">
        <v>618</v>
      </c>
      <c r="L6" t="s">
        <v>619</v>
      </c>
      <c r="M6" t="s">
        <v>620</v>
      </c>
      <c r="N6" t="s">
        <v>621</v>
      </c>
      <c r="O6" t="s">
        <v>622</v>
      </c>
      <c r="P6" t="s">
        <v>623</v>
      </c>
    </row>
    <row r="7" spans="1:17" ht="16" thickBot="1" x14ac:dyDescent="0.25">
      <c r="J7" s="23" t="s">
        <v>607</v>
      </c>
      <c r="K7" s="23">
        <v>178.59</v>
      </c>
      <c r="L7" s="23">
        <v>2.96</v>
      </c>
      <c r="M7" s="23">
        <v>542.79999999999995</v>
      </c>
      <c r="N7" s="23">
        <v>459.2</v>
      </c>
      <c r="O7" s="23">
        <v>877.3</v>
      </c>
      <c r="P7" s="23">
        <v>876.4</v>
      </c>
    </row>
    <row r="8" spans="1:17" ht="16" thickTop="1" x14ac:dyDescent="0.2">
      <c r="A8" s="51" t="s">
        <v>597</v>
      </c>
      <c r="B8" s="51" t="s">
        <v>598</v>
      </c>
      <c r="C8" s="51" t="s">
        <v>601</v>
      </c>
      <c r="D8" s="51" t="s">
        <v>602</v>
      </c>
      <c r="J8" s="23" t="s">
        <v>606</v>
      </c>
      <c r="K8" s="23">
        <v>831.04</v>
      </c>
      <c r="L8" s="23">
        <v>11.65</v>
      </c>
      <c r="M8" s="23">
        <v>782.7</v>
      </c>
      <c r="N8" s="23">
        <v>93</v>
      </c>
      <c r="O8" s="23">
        <v>6275.99999999999</v>
      </c>
      <c r="P8" s="23">
        <v>6275.0999999999704</v>
      </c>
    </row>
    <row r="9" spans="1:17" ht="32" x14ac:dyDescent="0.2">
      <c r="A9" t="s">
        <v>603</v>
      </c>
      <c r="B9" t="s">
        <v>608</v>
      </c>
      <c r="C9">
        <v>48.199857999999999</v>
      </c>
      <c r="D9">
        <v>11.577069</v>
      </c>
      <c r="J9" s="61" t="s">
        <v>603</v>
      </c>
      <c r="K9" s="61">
        <v>66.27</v>
      </c>
      <c r="L9" s="61">
        <v>1.63</v>
      </c>
      <c r="M9" s="61">
        <v>545.9</v>
      </c>
      <c r="N9" s="61">
        <v>500</v>
      </c>
      <c r="O9" s="61">
        <v>278.5</v>
      </c>
      <c r="P9" s="61">
        <v>277.60000000000002</v>
      </c>
      <c r="Q9" s="60" t="s">
        <v>652</v>
      </c>
    </row>
    <row r="10" spans="1:17" x14ac:dyDescent="0.2">
      <c r="A10" t="s">
        <v>603</v>
      </c>
      <c r="B10" t="s">
        <v>160</v>
      </c>
      <c r="C10" s="3">
        <v>48.162100000000002</v>
      </c>
      <c r="D10" s="3">
        <v>11.5822</v>
      </c>
      <c r="J10" s="23" t="s">
        <v>605</v>
      </c>
      <c r="K10" s="23">
        <v>435.44</v>
      </c>
      <c r="L10" s="23">
        <v>6.64</v>
      </c>
      <c r="M10" s="23">
        <v>534.9</v>
      </c>
      <c r="N10" s="23">
        <v>270.2</v>
      </c>
      <c r="O10" s="23">
        <v>2525.6999999999998</v>
      </c>
      <c r="P10" s="23">
        <v>2524.7999999999902</v>
      </c>
    </row>
    <row r="11" spans="1:17" x14ac:dyDescent="0.2">
      <c r="A11" t="s">
        <v>603</v>
      </c>
      <c r="B11" t="s">
        <v>166</v>
      </c>
      <c r="C11" s="3">
        <v>48.152700000000003</v>
      </c>
      <c r="D11" s="3">
        <v>11.5715</v>
      </c>
      <c r="J11" s="23" t="s">
        <v>604</v>
      </c>
      <c r="K11" s="23">
        <v>493.36</v>
      </c>
      <c r="L11" s="23">
        <v>7.55</v>
      </c>
      <c r="M11" s="23">
        <v>782.7</v>
      </c>
      <c r="N11" s="23">
        <v>199.8</v>
      </c>
      <c r="O11" s="23">
        <v>4219.6999999999898</v>
      </c>
      <c r="P11" s="23">
        <v>4218.7999999999902</v>
      </c>
    </row>
    <row r="12" spans="1:17" x14ac:dyDescent="0.2">
      <c r="A12" t="s">
        <v>603</v>
      </c>
      <c r="B12" t="s">
        <v>170</v>
      </c>
      <c r="C12" s="3">
        <v>48.142400000000002</v>
      </c>
      <c r="D12" s="3">
        <v>11.4612</v>
      </c>
    </row>
    <row r="13" spans="1:17" x14ac:dyDescent="0.2">
      <c r="A13" t="s">
        <v>603</v>
      </c>
      <c r="B13" t="s">
        <v>174</v>
      </c>
      <c r="C13" s="3">
        <v>48.118899999999996</v>
      </c>
      <c r="D13" s="3">
        <v>11.604799999999999</v>
      </c>
      <c r="J13" t="s">
        <v>597</v>
      </c>
      <c r="K13" t="s">
        <v>624</v>
      </c>
      <c r="L13" t="s">
        <v>625</v>
      </c>
      <c r="M13" t="s">
        <v>626</v>
      </c>
      <c r="N13" t="s">
        <v>627</v>
      </c>
      <c r="O13" t="s">
        <v>628</v>
      </c>
    </row>
    <row r="14" spans="1:17" x14ac:dyDescent="0.2">
      <c r="A14" t="s">
        <v>603</v>
      </c>
      <c r="B14" t="s">
        <v>178</v>
      </c>
      <c r="C14" s="3">
        <v>48.1297</v>
      </c>
      <c r="D14" s="3">
        <v>11.5764</v>
      </c>
      <c r="J14" t="s">
        <v>607</v>
      </c>
      <c r="K14">
        <v>8</v>
      </c>
      <c r="L14" t="s">
        <v>337</v>
      </c>
      <c r="M14" t="s">
        <v>617</v>
      </c>
      <c r="N14">
        <v>61.85</v>
      </c>
      <c r="O14">
        <v>0.91</v>
      </c>
    </row>
    <row r="15" spans="1:17" x14ac:dyDescent="0.2">
      <c r="A15" t="s">
        <v>603</v>
      </c>
      <c r="B15" t="s">
        <v>182</v>
      </c>
      <c r="C15" s="3">
        <v>48.154200000000003</v>
      </c>
      <c r="D15" s="3">
        <v>11.5312</v>
      </c>
      <c r="J15" t="s">
        <v>607</v>
      </c>
      <c r="K15">
        <v>5</v>
      </c>
      <c r="L15" t="s">
        <v>345</v>
      </c>
      <c r="M15" t="s">
        <v>327</v>
      </c>
      <c r="N15">
        <v>13.08</v>
      </c>
      <c r="O15">
        <v>0.27</v>
      </c>
    </row>
    <row r="16" spans="1:17" x14ac:dyDescent="0.2">
      <c r="A16" t="s">
        <v>603</v>
      </c>
      <c r="B16" t="s">
        <v>186</v>
      </c>
      <c r="C16" s="3">
        <v>48.147799999999997</v>
      </c>
      <c r="D16" s="3">
        <v>11.610099999999999</v>
      </c>
      <c r="J16" t="s">
        <v>607</v>
      </c>
      <c r="K16">
        <v>7</v>
      </c>
      <c r="L16" t="s">
        <v>333</v>
      </c>
      <c r="M16" t="s">
        <v>337</v>
      </c>
      <c r="N16">
        <v>2.27</v>
      </c>
      <c r="O16">
        <v>7.0000000000000007E-2</v>
      </c>
    </row>
    <row r="17" spans="1:15" x14ac:dyDescent="0.2">
      <c r="A17" t="s">
        <v>603</v>
      </c>
      <c r="B17" t="s">
        <v>190</v>
      </c>
      <c r="C17" s="3">
        <v>48.1218</v>
      </c>
      <c r="D17" s="3">
        <v>11.553100000000001</v>
      </c>
      <c r="J17" t="s">
        <v>607</v>
      </c>
      <c r="K17">
        <v>6</v>
      </c>
      <c r="L17" t="s">
        <v>327</v>
      </c>
      <c r="M17" t="s">
        <v>333</v>
      </c>
      <c r="N17">
        <v>3.01</v>
      </c>
      <c r="O17">
        <v>0.09</v>
      </c>
    </row>
    <row r="18" spans="1:15" x14ac:dyDescent="0.2">
      <c r="A18" t="s">
        <v>603</v>
      </c>
      <c r="B18" t="s">
        <v>194</v>
      </c>
      <c r="C18" s="3">
        <v>48.115499999999997</v>
      </c>
      <c r="D18" s="3">
        <v>11.579800000000001</v>
      </c>
      <c r="J18" t="s">
        <v>607</v>
      </c>
      <c r="K18">
        <v>2</v>
      </c>
      <c r="L18" t="s">
        <v>349</v>
      </c>
      <c r="M18" t="s">
        <v>353</v>
      </c>
      <c r="N18">
        <v>9.76</v>
      </c>
      <c r="O18">
        <v>0.2</v>
      </c>
    </row>
    <row r="19" spans="1:15" x14ac:dyDescent="0.2">
      <c r="A19" t="s">
        <v>603</v>
      </c>
      <c r="B19" t="s">
        <v>198</v>
      </c>
      <c r="C19" s="3">
        <v>48.159399999999998</v>
      </c>
      <c r="D19" s="3">
        <v>11.5839</v>
      </c>
      <c r="J19" t="s">
        <v>607</v>
      </c>
      <c r="K19">
        <v>3</v>
      </c>
      <c r="L19" t="s">
        <v>353</v>
      </c>
      <c r="M19" t="s">
        <v>341</v>
      </c>
      <c r="N19">
        <v>16.91</v>
      </c>
      <c r="O19">
        <v>0.28999999999999998</v>
      </c>
    </row>
    <row r="20" spans="1:15" x14ac:dyDescent="0.2">
      <c r="A20" t="s">
        <v>603</v>
      </c>
      <c r="B20" t="s">
        <v>202</v>
      </c>
      <c r="C20" s="3">
        <v>48.182200000000002</v>
      </c>
      <c r="D20" s="3">
        <v>11.5124</v>
      </c>
      <c r="J20" t="s">
        <v>607</v>
      </c>
      <c r="K20">
        <v>1</v>
      </c>
      <c r="L20" t="s">
        <v>616</v>
      </c>
      <c r="M20" t="s">
        <v>349</v>
      </c>
      <c r="N20">
        <v>65.94</v>
      </c>
      <c r="O20">
        <v>0.99</v>
      </c>
    </row>
    <row r="21" spans="1:15" x14ac:dyDescent="0.2">
      <c r="A21" t="s">
        <v>603</v>
      </c>
      <c r="B21" t="s">
        <v>206</v>
      </c>
      <c r="C21" s="3">
        <v>48.130499999999998</v>
      </c>
      <c r="D21" s="3">
        <v>11.5991</v>
      </c>
      <c r="J21" t="s">
        <v>607</v>
      </c>
      <c r="K21">
        <v>4</v>
      </c>
      <c r="L21" t="s">
        <v>341</v>
      </c>
      <c r="M21" t="s">
        <v>345</v>
      </c>
      <c r="N21">
        <v>5.78</v>
      </c>
      <c r="O21">
        <v>0.14000000000000001</v>
      </c>
    </row>
    <row r="22" spans="1:15" x14ac:dyDescent="0.2">
      <c r="A22" t="s">
        <v>603</v>
      </c>
      <c r="B22" t="s">
        <v>210</v>
      </c>
      <c r="C22" s="3">
        <v>48.148899999999998</v>
      </c>
      <c r="D22" s="3">
        <v>11.5685</v>
      </c>
      <c r="J22" t="s">
        <v>606</v>
      </c>
      <c r="K22">
        <v>6</v>
      </c>
      <c r="L22" t="s">
        <v>299</v>
      </c>
      <c r="M22" t="s">
        <v>293</v>
      </c>
      <c r="N22">
        <v>2.02</v>
      </c>
      <c r="O22">
        <v>0.06</v>
      </c>
    </row>
    <row r="23" spans="1:15" x14ac:dyDescent="0.2">
      <c r="A23" t="s">
        <v>603</v>
      </c>
      <c r="B23" t="s">
        <v>214</v>
      </c>
      <c r="C23" s="3">
        <v>48.101500000000001</v>
      </c>
      <c r="D23" s="3">
        <v>11.627800000000001</v>
      </c>
      <c r="J23" t="s">
        <v>606</v>
      </c>
      <c r="K23">
        <v>4</v>
      </c>
      <c r="L23" t="s">
        <v>319</v>
      </c>
      <c r="M23" t="s">
        <v>303</v>
      </c>
      <c r="N23">
        <v>2.92</v>
      </c>
      <c r="O23">
        <v>7.0000000000000007E-2</v>
      </c>
    </row>
    <row r="24" spans="1:15" x14ac:dyDescent="0.2">
      <c r="A24" t="s">
        <v>603</v>
      </c>
      <c r="B24" t="s">
        <v>218</v>
      </c>
      <c r="C24" s="3">
        <v>48.1755</v>
      </c>
      <c r="D24" s="3">
        <v>11.551600000000001</v>
      </c>
      <c r="J24" t="s">
        <v>606</v>
      </c>
      <c r="K24">
        <v>5</v>
      </c>
      <c r="L24" t="s">
        <v>303</v>
      </c>
      <c r="M24" t="s">
        <v>299</v>
      </c>
      <c r="N24">
        <v>4.2300000000000004</v>
      </c>
      <c r="O24">
        <v>0.11</v>
      </c>
    </row>
    <row r="25" spans="1:15" x14ac:dyDescent="0.2">
      <c r="A25" t="s">
        <v>603</v>
      </c>
      <c r="B25" t="s">
        <v>609</v>
      </c>
      <c r="C25">
        <v>48.199857999999999</v>
      </c>
      <c r="D25">
        <v>11.577069</v>
      </c>
      <c r="J25" t="s">
        <v>606</v>
      </c>
      <c r="K25">
        <v>2</v>
      </c>
      <c r="L25" t="s">
        <v>323</v>
      </c>
      <c r="M25" t="s">
        <v>315</v>
      </c>
      <c r="N25">
        <v>37.33</v>
      </c>
      <c r="O25">
        <v>0.56999999999999995</v>
      </c>
    </row>
    <row r="26" spans="1:15" x14ac:dyDescent="0.2">
      <c r="A26" t="s">
        <v>604</v>
      </c>
      <c r="B26" t="s">
        <v>610</v>
      </c>
      <c r="C26">
        <v>48.199857999999999</v>
      </c>
      <c r="D26">
        <v>11.577069</v>
      </c>
      <c r="J26" t="s">
        <v>606</v>
      </c>
      <c r="K26">
        <v>8</v>
      </c>
      <c r="L26" t="s">
        <v>307</v>
      </c>
      <c r="M26" t="s">
        <v>311</v>
      </c>
      <c r="N26">
        <v>5.38</v>
      </c>
      <c r="O26">
        <v>0.13</v>
      </c>
    </row>
    <row r="27" spans="1:15" x14ac:dyDescent="0.2">
      <c r="A27" t="s">
        <v>604</v>
      </c>
      <c r="B27" s="3" t="s">
        <v>222</v>
      </c>
      <c r="C27" s="3">
        <v>48.778399999999998</v>
      </c>
      <c r="D27" s="3">
        <v>9.18</v>
      </c>
      <c r="J27" t="s">
        <v>606</v>
      </c>
      <c r="K27">
        <v>9</v>
      </c>
      <c r="L27" t="s">
        <v>311</v>
      </c>
      <c r="M27" t="s">
        <v>615</v>
      </c>
      <c r="N27">
        <v>385.98</v>
      </c>
      <c r="O27">
        <v>5.3</v>
      </c>
    </row>
    <row r="28" spans="1:15" x14ac:dyDescent="0.2">
      <c r="A28" t="s">
        <v>604</v>
      </c>
      <c r="B28" s="3" t="s">
        <v>228</v>
      </c>
      <c r="C28" s="3">
        <v>48.722799999999999</v>
      </c>
      <c r="D28" s="3">
        <v>9.1456999999999997</v>
      </c>
      <c r="J28" t="s">
        <v>606</v>
      </c>
      <c r="K28">
        <v>7</v>
      </c>
      <c r="L28" t="s">
        <v>293</v>
      </c>
      <c r="M28" t="s">
        <v>307</v>
      </c>
      <c r="N28">
        <v>2.69</v>
      </c>
      <c r="O28">
        <v>0.08</v>
      </c>
    </row>
    <row r="29" spans="1:15" x14ac:dyDescent="0.2">
      <c r="A29" t="s">
        <v>604</v>
      </c>
      <c r="B29" s="3" t="s">
        <v>232</v>
      </c>
      <c r="C29" s="3">
        <v>48.770099999999999</v>
      </c>
      <c r="D29" s="3">
        <v>9.1571999999999996</v>
      </c>
      <c r="J29" t="s">
        <v>606</v>
      </c>
      <c r="K29">
        <v>3</v>
      </c>
      <c r="L29" t="s">
        <v>315</v>
      </c>
      <c r="M29" t="s">
        <v>319</v>
      </c>
      <c r="N29">
        <v>4.25</v>
      </c>
      <c r="O29">
        <v>0.1</v>
      </c>
    </row>
    <row r="30" spans="1:15" x14ac:dyDescent="0.2">
      <c r="A30" t="s">
        <v>604</v>
      </c>
      <c r="B30" s="3" t="s">
        <v>236</v>
      </c>
      <c r="C30" s="3">
        <v>48.813099999999999</v>
      </c>
      <c r="D30" s="3">
        <v>9.2761999999999993</v>
      </c>
      <c r="J30" t="s">
        <v>606</v>
      </c>
      <c r="K30">
        <v>1</v>
      </c>
      <c r="L30" t="s">
        <v>614</v>
      </c>
      <c r="M30" t="s">
        <v>323</v>
      </c>
      <c r="N30">
        <v>386.24</v>
      </c>
      <c r="O30">
        <v>5.24</v>
      </c>
    </row>
    <row r="31" spans="1:15" x14ac:dyDescent="0.2">
      <c r="A31" t="s">
        <v>604</v>
      </c>
      <c r="B31" s="3" t="s">
        <v>240</v>
      </c>
      <c r="C31" s="3">
        <v>48.732799999999997</v>
      </c>
      <c r="D31" s="3">
        <v>9.2013999999999996</v>
      </c>
      <c r="J31" t="s">
        <v>603</v>
      </c>
      <c r="K31">
        <v>11</v>
      </c>
      <c r="L31" t="s">
        <v>178</v>
      </c>
      <c r="M31" t="s">
        <v>190</v>
      </c>
      <c r="N31">
        <v>2.96</v>
      </c>
      <c r="O31">
        <v>0.09</v>
      </c>
    </row>
    <row r="32" spans="1:15" x14ac:dyDescent="0.2">
      <c r="A32" t="s">
        <v>604</v>
      </c>
      <c r="B32" s="3" t="s">
        <v>244</v>
      </c>
      <c r="C32" s="3">
        <v>48.805799999999998</v>
      </c>
      <c r="D32" s="3">
        <v>9.2243999999999993</v>
      </c>
      <c r="J32" t="s">
        <v>603</v>
      </c>
      <c r="K32">
        <v>4</v>
      </c>
      <c r="L32" t="s">
        <v>166</v>
      </c>
      <c r="M32" t="s">
        <v>210</v>
      </c>
      <c r="N32">
        <v>0.48</v>
      </c>
      <c r="O32">
        <v>0.01</v>
      </c>
    </row>
    <row r="33" spans="1:15" x14ac:dyDescent="0.2">
      <c r="A33" t="s">
        <v>604</v>
      </c>
      <c r="B33" s="3" t="s">
        <v>248</v>
      </c>
      <c r="C33" s="3">
        <v>48.715400000000002</v>
      </c>
      <c r="D33" s="3">
        <v>9.1577999999999999</v>
      </c>
      <c r="J33" t="s">
        <v>603</v>
      </c>
      <c r="K33">
        <v>16</v>
      </c>
      <c r="L33" t="s">
        <v>218</v>
      </c>
      <c r="M33" t="s">
        <v>609</v>
      </c>
      <c r="N33">
        <v>5.79</v>
      </c>
      <c r="O33">
        <v>0.13</v>
      </c>
    </row>
    <row r="34" spans="1:15" x14ac:dyDescent="0.2">
      <c r="A34" t="s">
        <v>604</v>
      </c>
      <c r="B34" s="3" t="s">
        <v>252</v>
      </c>
      <c r="C34" s="3">
        <v>48.8977</v>
      </c>
      <c r="D34" s="3">
        <v>9.1908999999999992</v>
      </c>
      <c r="J34" t="s">
        <v>603</v>
      </c>
      <c r="K34">
        <v>10</v>
      </c>
      <c r="L34" t="s">
        <v>194</v>
      </c>
      <c r="M34" t="s">
        <v>178</v>
      </c>
      <c r="N34">
        <v>1.95</v>
      </c>
      <c r="O34">
        <v>0.05</v>
      </c>
    </row>
    <row r="35" spans="1:15" x14ac:dyDescent="0.2">
      <c r="A35" t="s">
        <v>604</v>
      </c>
      <c r="B35" s="3" t="s">
        <v>256</v>
      </c>
      <c r="C35" s="3">
        <v>48.8322</v>
      </c>
      <c r="D35" s="3">
        <v>9.3171999999999997</v>
      </c>
      <c r="J35" t="s">
        <v>603</v>
      </c>
      <c r="K35">
        <v>5</v>
      </c>
      <c r="L35" t="s">
        <v>210</v>
      </c>
      <c r="M35" t="s">
        <v>186</v>
      </c>
      <c r="N35">
        <v>4.53</v>
      </c>
      <c r="O35">
        <v>0.11</v>
      </c>
    </row>
    <row r="36" spans="1:15" x14ac:dyDescent="0.2">
      <c r="A36" t="s">
        <v>604</v>
      </c>
      <c r="B36" t="s">
        <v>611</v>
      </c>
      <c r="C36">
        <v>48.199857999999999</v>
      </c>
      <c r="D36">
        <v>11.577069</v>
      </c>
      <c r="J36" t="s">
        <v>603</v>
      </c>
      <c r="K36">
        <v>7</v>
      </c>
      <c r="L36" t="s">
        <v>206</v>
      </c>
      <c r="M36" t="s">
        <v>174</v>
      </c>
      <c r="N36">
        <v>1.73</v>
      </c>
      <c r="O36">
        <v>0.06</v>
      </c>
    </row>
    <row r="37" spans="1:15" x14ac:dyDescent="0.2">
      <c r="A37" t="s">
        <v>605</v>
      </c>
      <c r="B37" t="s">
        <v>612</v>
      </c>
      <c r="C37">
        <v>48.199857999999999</v>
      </c>
      <c r="D37">
        <v>11.577069</v>
      </c>
      <c r="J37" t="s">
        <v>603</v>
      </c>
      <c r="K37">
        <v>13</v>
      </c>
      <c r="L37" t="s">
        <v>170</v>
      </c>
      <c r="M37" t="s">
        <v>182</v>
      </c>
      <c r="N37">
        <v>7.63</v>
      </c>
      <c r="O37">
        <v>0.18</v>
      </c>
    </row>
    <row r="38" spans="1:15" x14ac:dyDescent="0.2">
      <c r="A38" t="s">
        <v>605</v>
      </c>
      <c r="B38" s="3" t="s">
        <v>260</v>
      </c>
      <c r="C38" s="3">
        <v>49.454300000000003</v>
      </c>
      <c r="D38" s="3">
        <v>11.079800000000001</v>
      </c>
      <c r="J38" t="s">
        <v>603</v>
      </c>
      <c r="K38">
        <v>12</v>
      </c>
      <c r="L38" t="s">
        <v>190</v>
      </c>
      <c r="M38" t="s">
        <v>170</v>
      </c>
      <c r="N38">
        <v>12.26</v>
      </c>
      <c r="O38">
        <v>0.26</v>
      </c>
    </row>
    <row r="39" spans="1:15" x14ac:dyDescent="0.2">
      <c r="A39" t="s">
        <v>605</v>
      </c>
      <c r="B39" s="3" t="s">
        <v>266</v>
      </c>
      <c r="C39" s="3">
        <v>49.461199999999998</v>
      </c>
      <c r="D39" s="3">
        <v>11.051500000000001</v>
      </c>
      <c r="J39" t="s">
        <v>603</v>
      </c>
      <c r="K39">
        <v>2</v>
      </c>
      <c r="L39" t="s">
        <v>160</v>
      </c>
      <c r="M39" t="s">
        <v>198</v>
      </c>
      <c r="N39">
        <v>0.7</v>
      </c>
      <c r="O39">
        <v>0.03</v>
      </c>
    </row>
    <row r="40" spans="1:15" x14ac:dyDescent="0.2">
      <c r="A40" t="s">
        <v>605</v>
      </c>
      <c r="B40" s="3" t="s">
        <v>270</v>
      </c>
      <c r="C40" s="3">
        <v>49.471800000000002</v>
      </c>
      <c r="D40" s="3">
        <v>10.991199999999999</v>
      </c>
      <c r="J40" t="s">
        <v>603</v>
      </c>
      <c r="K40">
        <v>3</v>
      </c>
      <c r="L40" t="s">
        <v>198</v>
      </c>
      <c r="M40" t="s">
        <v>166</v>
      </c>
      <c r="N40">
        <v>1.78</v>
      </c>
      <c r="O40">
        <v>0.05</v>
      </c>
    </row>
    <row r="41" spans="1:15" x14ac:dyDescent="0.2">
      <c r="A41" t="s">
        <v>605</v>
      </c>
      <c r="B41" s="3" t="s">
        <v>274</v>
      </c>
      <c r="C41" s="3">
        <v>49.512799999999999</v>
      </c>
      <c r="D41" s="3">
        <v>11.2804</v>
      </c>
      <c r="J41" t="s">
        <v>603</v>
      </c>
      <c r="K41">
        <v>9</v>
      </c>
      <c r="L41" t="s">
        <v>214</v>
      </c>
      <c r="M41" t="s">
        <v>194</v>
      </c>
      <c r="N41">
        <v>5.27</v>
      </c>
      <c r="O41">
        <v>0.12</v>
      </c>
    </row>
    <row r="42" spans="1:15" x14ac:dyDescent="0.2">
      <c r="A42" t="s">
        <v>605</v>
      </c>
      <c r="B42" s="3" t="s">
        <v>278</v>
      </c>
      <c r="C42" s="3">
        <v>49.598399999999998</v>
      </c>
      <c r="D42" s="3">
        <v>11.0031</v>
      </c>
      <c r="J42" t="s">
        <v>603</v>
      </c>
      <c r="K42">
        <v>6</v>
      </c>
      <c r="L42" t="s">
        <v>186</v>
      </c>
      <c r="M42" t="s">
        <v>206</v>
      </c>
      <c r="N42">
        <v>2.95</v>
      </c>
      <c r="O42">
        <v>0.1</v>
      </c>
    </row>
    <row r="43" spans="1:15" x14ac:dyDescent="0.2">
      <c r="A43" t="s">
        <v>605</v>
      </c>
      <c r="B43" s="3" t="s">
        <v>281</v>
      </c>
      <c r="C43" s="3">
        <v>49.330199999999998</v>
      </c>
      <c r="D43" s="3">
        <v>11.021800000000001</v>
      </c>
      <c r="J43" t="s">
        <v>603</v>
      </c>
      <c r="K43">
        <v>14</v>
      </c>
      <c r="L43" t="s">
        <v>182</v>
      </c>
      <c r="M43" t="s">
        <v>202</v>
      </c>
      <c r="N43">
        <v>4.7</v>
      </c>
      <c r="O43">
        <v>0.11</v>
      </c>
    </row>
    <row r="44" spans="1:15" x14ac:dyDescent="0.2">
      <c r="A44" t="s">
        <v>605</v>
      </c>
      <c r="B44" s="3" t="s">
        <v>285</v>
      </c>
      <c r="C44" s="3">
        <v>49.445799999999998</v>
      </c>
      <c r="D44" s="3">
        <v>10.954800000000001</v>
      </c>
      <c r="J44" t="s">
        <v>603</v>
      </c>
      <c r="K44">
        <v>1</v>
      </c>
      <c r="L44" t="s">
        <v>608</v>
      </c>
      <c r="M44" t="s">
        <v>160</v>
      </c>
      <c r="N44">
        <v>5.67</v>
      </c>
      <c r="O44">
        <v>0.15</v>
      </c>
    </row>
    <row r="45" spans="1:15" x14ac:dyDescent="0.2">
      <c r="A45" t="s">
        <v>605</v>
      </c>
      <c r="B45" s="3" t="s">
        <v>289</v>
      </c>
      <c r="C45" s="3">
        <v>49.4193</v>
      </c>
      <c r="D45" s="3">
        <v>10.9815</v>
      </c>
      <c r="J45" t="s">
        <v>603</v>
      </c>
      <c r="K45">
        <v>8</v>
      </c>
      <c r="L45" t="s">
        <v>174</v>
      </c>
      <c r="M45" t="s">
        <v>214</v>
      </c>
      <c r="N45">
        <v>3.11</v>
      </c>
      <c r="O45">
        <v>7.0000000000000007E-2</v>
      </c>
    </row>
    <row r="46" spans="1:15" x14ac:dyDescent="0.2">
      <c r="A46" t="s">
        <v>605</v>
      </c>
      <c r="B46" t="s">
        <v>613</v>
      </c>
      <c r="C46">
        <v>48.199857999999999</v>
      </c>
      <c r="D46">
        <v>11.577069</v>
      </c>
      <c r="J46" t="s">
        <v>603</v>
      </c>
      <c r="K46">
        <v>15</v>
      </c>
      <c r="L46" t="s">
        <v>202</v>
      </c>
      <c r="M46" t="s">
        <v>218</v>
      </c>
      <c r="N46">
        <v>4.75</v>
      </c>
      <c r="O46">
        <v>0.1</v>
      </c>
    </row>
    <row r="47" spans="1:15" x14ac:dyDescent="0.2">
      <c r="A47" t="s">
        <v>606</v>
      </c>
      <c r="B47" t="s">
        <v>614</v>
      </c>
      <c r="C47">
        <v>48.199857999999999</v>
      </c>
      <c r="D47">
        <v>11.577069</v>
      </c>
      <c r="J47" t="s">
        <v>605</v>
      </c>
      <c r="K47">
        <v>7</v>
      </c>
      <c r="L47" t="s">
        <v>260</v>
      </c>
      <c r="M47" t="s">
        <v>278</v>
      </c>
      <c r="N47">
        <v>25.74</v>
      </c>
      <c r="O47">
        <v>0.45</v>
      </c>
    </row>
    <row r="48" spans="1:15" x14ac:dyDescent="0.2">
      <c r="A48" t="s">
        <v>606</v>
      </c>
      <c r="B48" s="3" t="s">
        <v>293</v>
      </c>
      <c r="C48" s="3">
        <v>50.1145</v>
      </c>
      <c r="D48" s="3">
        <v>8.6892999999999994</v>
      </c>
      <c r="J48" t="s">
        <v>605</v>
      </c>
      <c r="K48">
        <v>2</v>
      </c>
      <c r="L48" t="s">
        <v>281</v>
      </c>
      <c r="M48" t="s">
        <v>289</v>
      </c>
      <c r="N48">
        <v>14.7</v>
      </c>
      <c r="O48">
        <v>0.35</v>
      </c>
    </row>
    <row r="49" spans="1:15" x14ac:dyDescent="0.2">
      <c r="A49" t="s">
        <v>606</v>
      </c>
      <c r="B49" s="3" t="s">
        <v>299</v>
      </c>
      <c r="C49" s="3">
        <v>50.101199999999999</v>
      </c>
      <c r="D49" s="3">
        <v>8.6846999999999994</v>
      </c>
      <c r="J49" t="s">
        <v>605</v>
      </c>
      <c r="K49">
        <v>5</v>
      </c>
      <c r="L49" t="s">
        <v>270</v>
      </c>
      <c r="M49" t="s">
        <v>266</v>
      </c>
      <c r="N49">
        <v>5.89</v>
      </c>
      <c r="O49">
        <v>0.13</v>
      </c>
    </row>
    <row r="50" spans="1:15" x14ac:dyDescent="0.2">
      <c r="A50" t="s">
        <v>606</v>
      </c>
      <c r="B50" s="3" t="s">
        <v>303</v>
      </c>
      <c r="C50" s="3">
        <v>50.124099999999999</v>
      </c>
      <c r="D50" s="3">
        <v>8.7114999999999991</v>
      </c>
      <c r="J50" t="s">
        <v>605</v>
      </c>
      <c r="K50">
        <v>3</v>
      </c>
      <c r="L50" t="s">
        <v>289</v>
      </c>
      <c r="M50" t="s">
        <v>285</v>
      </c>
      <c r="N50">
        <v>4.6100000000000003</v>
      </c>
      <c r="O50">
        <v>0.12</v>
      </c>
    </row>
    <row r="51" spans="1:15" x14ac:dyDescent="0.2">
      <c r="A51" t="s">
        <v>606</v>
      </c>
      <c r="B51" s="3" t="s">
        <v>307</v>
      </c>
      <c r="C51" s="3">
        <v>50.1128</v>
      </c>
      <c r="D51" s="3">
        <v>8.7188999999999997</v>
      </c>
      <c r="J51" t="s">
        <v>605</v>
      </c>
      <c r="K51">
        <v>8</v>
      </c>
      <c r="L51" t="s">
        <v>278</v>
      </c>
      <c r="M51" t="s">
        <v>274</v>
      </c>
      <c r="N51">
        <v>38.01</v>
      </c>
      <c r="O51">
        <v>0.62</v>
      </c>
    </row>
    <row r="52" spans="1:15" x14ac:dyDescent="0.2">
      <c r="A52" t="s">
        <v>606</v>
      </c>
      <c r="B52" s="3" t="s">
        <v>311</v>
      </c>
      <c r="C52" s="3">
        <v>50.104199999999999</v>
      </c>
      <c r="D52" s="3">
        <v>8.7628000000000004</v>
      </c>
      <c r="J52" t="s">
        <v>605</v>
      </c>
      <c r="K52">
        <v>6</v>
      </c>
      <c r="L52" t="s">
        <v>266</v>
      </c>
      <c r="M52" t="s">
        <v>260</v>
      </c>
      <c r="N52">
        <v>4.68</v>
      </c>
      <c r="O52">
        <v>0.13</v>
      </c>
    </row>
    <row r="53" spans="1:15" x14ac:dyDescent="0.2">
      <c r="A53" t="s">
        <v>606</v>
      </c>
      <c r="B53" s="3" t="s">
        <v>315</v>
      </c>
      <c r="C53" s="3">
        <v>50.125500000000002</v>
      </c>
      <c r="D53" s="3">
        <v>8.6540999999999997</v>
      </c>
      <c r="J53" t="s">
        <v>605</v>
      </c>
      <c r="K53">
        <v>9</v>
      </c>
      <c r="L53" t="s">
        <v>274</v>
      </c>
      <c r="M53" t="s">
        <v>613</v>
      </c>
      <c r="N53">
        <v>169.75</v>
      </c>
      <c r="O53">
        <v>2.33</v>
      </c>
    </row>
    <row r="54" spans="1:15" x14ac:dyDescent="0.2">
      <c r="A54" t="s">
        <v>606</v>
      </c>
      <c r="B54" s="3" t="s">
        <v>319</v>
      </c>
      <c r="C54" s="3">
        <v>50.133800000000001</v>
      </c>
      <c r="D54" s="3">
        <v>8.6928000000000001</v>
      </c>
      <c r="J54" t="s">
        <v>605</v>
      </c>
      <c r="K54">
        <v>1</v>
      </c>
      <c r="L54" t="s">
        <v>612</v>
      </c>
      <c r="M54" t="s">
        <v>281</v>
      </c>
      <c r="N54">
        <v>165.21</v>
      </c>
      <c r="O54">
        <v>2.35</v>
      </c>
    </row>
    <row r="55" spans="1:15" x14ac:dyDescent="0.2">
      <c r="A55" t="s">
        <v>606</v>
      </c>
      <c r="B55" s="3" t="s">
        <v>323</v>
      </c>
      <c r="C55" s="3">
        <v>49.871400000000001</v>
      </c>
      <c r="D55" s="3">
        <v>8.6511999999999993</v>
      </c>
      <c r="J55" t="s">
        <v>605</v>
      </c>
      <c r="K55">
        <v>4</v>
      </c>
      <c r="L55" t="s">
        <v>285</v>
      </c>
      <c r="M55" t="s">
        <v>270</v>
      </c>
      <c r="N55">
        <v>6.85</v>
      </c>
      <c r="O55">
        <v>0.17</v>
      </c>
    </row>
    <row r="56" spans="1:15" x14ac:dyDescent="0.2">
      <c r="A56" t="s">
        <v>606</v>
      </c>
      <c r="B56" t="s">
        <v>615</v>
      </c>
      <c r="C56">
        <v>48.199857999999999</v>
      </c>
      <c r="D56">
        <v>11.577069</v>
      </c>
      <c r="J56" t="s">
        <v>604</v>
      </c>
      <c r="K56">
        <v>10</v>
      </c>
      <c r="L56" t="s">
        <v>248</v>
      </c>
      <c r="M56" t="s">
        <v>611</v>
      </c>
      <c r="N56">
        <v>210.47</v>
      </c>
      <c r="O56">
        <v>2.89</v>
      </c>
    </row>
    <row r="57" spans="1:15" x14ac:dyDescent="0.2">
      <c r="A57" t="s">
        <v>607</v>
      </c>
      <c r="B57" t="s">
        <v>616</v>
      </c>
      <c r="C57">
        <v>48.199857999999999</v>
      </c>
      <c r="D57">
        <v>11.577069</v>
      </c>
      <c r="J57" t="s">
        <v>604</v>
      </c>
      <c r="K57">
        <v>3</v>
      </c>
      <c r="L57" t="s">
        <v>244</v>
      </c>
      <c r="M57" t="s">
        <v>236</v>
      </c>
      <c r="N57">
        <v>5.08</v>
      </c>
      <c r="O57">
        <v>0.14000000000000001</v>
      </c>
    </row>
    <row r="58" spans="1:15" x14ac:dyDescent="0.2">
      <c r="A58" t="s">
        <v>607</v>
      </c>
      <c r="B58" s="3" t="s">
        <v>327</v>
      </c>
      <c r="C58" s="3">
        <v>48.366300000000003</v>
      </c>
      <c r="D58" s="3">
        <v>10.894500000000001</v>
      </c>
      <c r="J58" t="s">
        <v>604</v>
      </c>
      <c r="K58">
        <v>9</v>
      </c>
      <c r="L58" t="s">
        <v>228</v>
      </c>
      <c r="M58" t="s">
        <v>248</v>
      </c>
      <c r="N58">
        <v>2.12</v>
      </c>
      <c r="O58">
        <v>0.06</v>
      </c>
    </row>
    <row r="59" spans="1:15" x14ac:dyDescent="0.2">
      <c r="A59" t="s">
        <v>607</v>
      </c>
      <c r="B59" s="3" t="s">
        <v>333</v>
      </c>
      <c r="C59" s="3">
        <v>48.3752</v>
      </c>
      <c r="D59" s="3">
        <v>10.918799999999999</v>
      </c>
      <c r="J59" t="s">
        <v>604</v>
      </c>
      <c r="K59">
        <v>8</v>
      </c>
      <c r="L59" t="s">
        <v>232</v>
      </c>
      <c r="M59" t="s">
        <v>228</v>
      </c>
      <c r="N59">
        <v>8.08</v>
      </c>
      <c r="O59">
        <v>0.19</v>
      </c>
    </row>
    <row r="60" spans="1:15" x14ac:dyDescent="0.2">
      <c r="A60" t="s">
        <v>607</v>
      </c>
      <c r="B60" s="3" t="s">
        <v>337</v>
      </c>
      <c r="C60" s="3">
        <v>48.391199999999998</v>
      </c>
      <c r="D60" s="3">
        <v>10.9122</v>
      </c>
      <c r="J60" t="s">
        <v>604</v>
      </c>
      <c r="K60">
        <v>7</v>
      </c>
      <c r="L60" t="s">
        <v>222</v>
      </c>
      <c r="M60" t="s">
        <v>232</v>
      </c>
      <c r="N60">
        <v>2.57</v>
      </c>
      <c r="O60">
        <v>7.0000000000000007E-2</v>
      </c>
    </row>
    <row r="61" spans="1:15" x14ac:dyDescent="0.2">
      <c r="A61" t="s">
        <v>607</v>
      </c>
      <c r="B61" s="3" t="s">
        <v>341</v>
      </c>
      <c r="C61" s="3">
        <v>48.268799999999999</v>
      </c>
      <c r="D61" s="3">
        <v>10.831200000000001</v>
      </c>
      <c r="J61" t="s">
        <v>604</v>
      </c>
      <c r="K61">
        <v>5</v>
      </c>
      <c r="L61" t="s">
        <v>256</v>
      </c>
      <c r="M61" t="s">
        <v>252</v>
      </c>
      <c r="N61">
        <v>17.600000000000001</v>
      </c>
      <c r="O61">
        <v>0.4</v>
      </c>
    </row>
    <row r="62" spans="1:15" x14ac:dyDescent="0.2">
      <c r="A62" t="s">
        <v>607</v>
      </c>
      <c r="B62" s="3" t="s">
        <v>345</v>
      </c>
      <c r="C62" s="3">
        <v>48.268799999999999</v>
      </c>
      <c r="D62" s="3">
        <v>10.89</v>
      </c>
      <c r="J62" t="s">
        <v>604</v>
      </c>
      <c r="K62">
        <v>4</v>
      </c>
      <c r="L62" t="s">
        <v>236</v>
      </c>
      <c r="M62" t="s">
        <v>256</v>
      </c>
      <c r="N62">
        <v>7.06</v>
      </c>
      <c r="O62">
        <v>0.14000000000000001</v>
      </c>
    </row>
    <row r="63" spans="1:15" x14ac:dyDescent="0.2">
      <c r="A63" t="s">
        <v>607</v>
      </c>
      <c r="B63" s="3" t="s">
        <v>349</v>
      </c>
      <c r="C63" s="3">
        <v>48.422800000000002</v>
      </c>
      <c r="D63" s="3">
        <v>10.876799999999999</v>
      </c>
      <c r="J63" t="s">
        <v>604</v>
      </c>
      <c r="K63">
        <v>2</v>
      </c>
      <c r="L63" t="s">
        <v>240</v>
      </c>
      <c r="M63" t="s">
        <v>244</v>
      </c>
      <c r="N63">
        <v>15.29</v>
      </c>
      <c r="O63">
        <v>0.35</v>
      </c>
    </row>
    <row r="64" spans="1:15" x14ac:dyDescent="0.2">
      <c r="A64" t="s">
        <v>607</v>
      </c>
      <c r="B64" s="3" t="s">
        <v>353</v>
      </c>
      <c r="C64" s="3">
        <v>48.364800000000002</v>
      </c>
      <c r="D64" s="3">
        <v>10.8558</v>
      </c>
      <c r="J64" t="s">
        <v>604</v>
      </c>
      <c r="K64">
        <v>1</v>
      </c>
      <c r="L64" t="s">
        <v>610</v>
      </c>
      <c r="M64" t="s">
        <v>240</v>
      </c>
      <c r="N64">
        <v>209.19</v>
      </c>
      <c r="O64">
        <v>2.93</v>
      </c>
    </row>
    <row r="65" spans="1:15" x14ac:dyDescent="0.2">
      <c r="A65" t="s">
        <v>607</v>
      </c>
      <c r="B65" t="s">
        <v>617</v>
      </c>
      <c r="C65">
        <v>48.199857999999999</v>
      </c>
      <c r="D65">
        <v>11.577069</v>
      </c>
      <c r="J65" t="s">
        <v>604</v>
      </c>
      <c r="K65">
        <v>6</v>
      </c>
      <c r="L65" t="s">
        <v>252</v>
      </c>
      <c r="M65" t="s">
        <v>222</v>
      </c>
      <c r="N65">
        <v>15.9</v>
      </c>
      <c r="O65">
        <v>0.36</v>
      </c>
    </row>
  </sheetData>
  <pageMargins left="0.7" right="0.7" top="0.78740157499999996" bottom="0.78740157499999996" header="0.3" footer="0.3"/>
  <tableParts count="3">
    <tablePart r:id="rId1"/>
    <tablePart r:id="rId2"/>
    <tablePart r:id="rId3"/>
  </tableParts>
  <extLst>
    <ext xmlns:x15="http://schemas.microsoft.com/office/spreadsheetml/2010/11/main" uri="{F7C9EE02-42E1-4005-9D12-6889AFFD525C}">
      <x15:webExtensions xmlns:xm="http://schemas.microsoft.com/office/excel/2006/main">
        <x15:webExtension appRef="{7A80B533-BAE2-E048-B9F9-0995550DD37B}">
          <xm:f>#REF!</xm:f>
        </x15:webExtension>
      </x15:webExtens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8DBCF-E339-E342-90F2-0EF65DC04C25}">
  <dimension ref="A1:N27"/>
  <sheetViews>
    <sheetView workbookViewId="0">
      <selection activeCell="P44" sqref="P44"/>
    </sheetView>
  </sheetViews>
  <sheetFormatPr baseColWidth="10" defaultRowHeight="15" x14ac:dyDescent="0.2"/>
  <cols>
    <col min="1" max="1" width="13.5" customWidth="1"/>
    <col min="2" max="2" width="29.1640625" bestFit="1" customWidth="1"/>
    <col min="4" max="4" width="11.33203125" customWidth="1"/>
    <col min="8" max="8" width="16" bestFit="1" customWidth="1"/>
    <col min="9" max="9" width="14.33203125" customWidth="1"/>
    <col min="10" max="10" width="29.1640625" bestFit="1" customWidth="1"/>
    <col min="11" max="11" width="28.33203125" bestFit="1" customWidth="1"/>
    <col min="12" max="12" width="12.1640625" customWidth="1"/>
    <col min="13" max="13" width="11.6640625" customWidth="1"/>
    <col min="14" max="14" width="14" customWidth="1"/>
  </cols>
  <sheetData>
    <row r="1" spans="1:14" ht="26" x14ac:dyDescent="0.3">
      <c r="A1" s="46" t="s">
        <v>599</v>
      </c>
    </row>
    <row r="4" spans="1:14" ht="21" x14ac:dyDescent="0.25">
      <c r="A4" s="47" t="s">
        <v>600</v>
      </c>
      <c r="B4" s="48"/>
      <c r="C4" s="48"/>
      <c r="D4" s="48"/>
      <c r="H4" s="52" t="s">
        <v>636</v>
      </c>
    </row>
    <row r="6" spans="1:14" x14ac:dyDescent="0.2">
      <c r="A6" s="49" t="s">
        <v>596</v>
      </c>
      <c r="B6" s="50"/>
      <c r="C6" s="50"/>
      <c r="D6" s="50"/>
      <c r="H6" t="s">
        <v>597</v>
      </c>
      <c r="I6" t="s">
        <v>618</v>
      </c>
      <c r="J6" t="s">
        <v>619</v>
      </c>
      <c r="K6" t="s">
        <v>620</v>
      </c>
      <c r="L6" t="s">
        <v>621</v>
      </c>
      <c r="M6" t="s">
        <v>622</v>
      </c>
      <c r="N6" t="s">
        <v>623</v>
      </c>
    </row>
    <row r="7" spans="1:14" ht="16" thickBot="1" x14ac:dyDescent="0.25">
      <c r="H7" t="s">
        <v>630</v>
      </c>
      <c r="I7">
        <v>27.28</v>
      </c>
      <c r="J7">
        <v>0.67</v>
      </c>
      <c r="K7">
        <v>527.1</v>
      </c>
      <c r="L7">
        <v>500</v>
      </c>
      <c r="M7">
        <v>95.299999999999798</v>
      </c>
      <c r="N7">
        <v>94.399999999999807</v>
      </c>
    </row>
    <row r="8" spans="1:14" ht="16" thickTop="1" x14ac:dyDescent="0.2">
      <c r="A8" s="51" t="s">
        <v>597</v>
      </c>
      <c r="B8" s="51" t="s">
        <v>598</v>
      </c>
      <c r="C8" s="51" t="s">
        <v>601</v>
      </c>
      <c r="D8" s="51" t="s">
        <v>602</v>
      </c>
      <c r="H8" t="s">
        <v>635</v>
      </c>
      <c r="I8">
        <v>54.51</v>
      </c>
      <c r="J8">
        <v>1.28</v>
      </c>
      <c r="K8">
        <v>545.70000000000005</v>
      </c>
      <c r="L8">
        <v>500</v>
      </c>
      <c r="M8">
        <v>220.79999999999899</v>
      </c>
      <c r="N8">
        <v>219.89999999999901</v>
      </c>
    </row>
    <row r="9" spans="1:14" x14ac:dyDescent="0.2">
      <c r="A9" t="s">
        <v>630</v>
      </c>
      <c r="B9" t="s">
        <v>631</v>
      </c>
      <c r="C9">
        <v>48.199857999999999</v>
      </c>
      <c r="D9">
        <v>11.577069</v>
      </c>
    </row>
    <row r="10" spans="1:14" x14ac:dyDescent="0.2">
      <c r="A10" t="s">
        <v>630</v>
      </c>
      <c r="B10" s="3" t="s">
        <v>160</v>
      </c>
      <c r="C10" s="3">
        <v>48.162100000000002</v>
      </c>
      <c r="D10" s="3">
        <v>11.5822</v>
      </c>
      <c r="H10" t="s">
        <v>597</v>
      </c>
      <c r="I10" t="s">
        <v>624</v>
      </c>
      <c r="J10" t="s">
        <v>625</v>
      </c>
      <c r="K10" t="s">
        <v>626</v>
      </c>
      <c r="L10" t="s">
        <v>627</v>
      </c>
      <c r="M10" t="s">
        <v>628</v>
      </c>
    </row>
    <row r="11" spans="1:14" x14ac:dyDescent="0.2">
      <c r="A11" t="s">
        <v>630</v>
      </c>
      <c r="B11" s="3" t="s">
        <v>166</v>
      </c>
      <c r="C11" s="3">
        <v>48.152700000000003</v>
      </c>
      <c r="D11" s="3">
        <v>11.5715</v>
      </c>
      <c r="H11" t="s">
        <v>630</v>
      </c>
      <c r="I11">
        <v>1</v>
      </c>
      <c r="J11" t="s">
        <v>631</v>
      </c>
      <c r="K11" t="s">
        <v>160</v>
      </c>
      <c r="L11">
        <v>5.67</v>
      </c>
      <c r="M11">
        <v>0.15</v>
      </c>
    </row>
    <row r="12" spans="1:14" x14ac:dyDescent="0.2">
      <c r="A12" t="s">
        <v>630</v>
      </c>
      <c r="B12" s="3" t="s">
        <v>182</v>
      </c>
      <c r="C12" s="3">
        <v>48.154200000000003</v>
      </c>
      <c r="D12" s="3">
        <v>11.5312</v>
      </c>
      <c r="H12" t="s">
        <v>630</v>
      </c>
      <c r="I12">
        <v>2</v>
      </c>
      <c r="J12" t="s">
        <v>160</v>
      </c>
      <c r="K12" t="s">
        <v>198</v>
      </c>
      <c r="L12">
        <v>0.7</v>
      </c>
      <c r="M12">
        <v>0.03</v>
      </c>
    </row>
    <row r="13" spans="1:14" x14ac:dyDescent="0.2">
      <c r="A13" t="s">
        <v>630</v>
      </c>
      <c r="B13" s="3" t="s">
        <v>198</v>
      </c>
      <c r="C13" s="3">
        <v>48.159399999999998</v>
      </c>
      <c r="D13" s="3">
        <v>11.5839</v>
      </c>
      <c r="H13" t="s">
        <v>630</v>
      </c>
      <c r="I13">
        <v>3</v>
      </c>
      <c r="J13" t="s">
        <v>198</v>
      </c>
      <c r="K13" t="s">
        <v>166</v>
      </c>
      <c r="L13">
        <v>1.78</v>
      </c>
      <c r="M13">
        <v>0.05</v>
      </c>
    </row>
    <row r="14" spans="1:14" x14ac:dyDescent="0.2">
      <c r="A14" t="s">
        <v>630</v>
      </c>
      <c r="B14" s="3" t="s">
        <v>202</v>
      </c>
      <c r="C14" s="3">
        <v>48.182200000000002</v>
      </c>
      <c r="D14" s="3">
        <v>11.5124</v>
      </c>
      <c r="H14" t="s">
        <v>630</v>
      </c>
      <c r="I14">
        <v>4</v>
      </c>
      <c r="J14" t="s">
        <v>166</v>
      </c>
      <c r="K14" t="s">
        <v>210</v>
      </c>
      <c r="L14">
        <v>0.48</v>
      </c>
      <c r="M14">
        <v>0.01</v>
      </c>
    </row>
    <row r="15" spans="1:14" x14ac:dyDescent="0.2">
      <c r="A15" t="s">
        <v>630</v>
      </c>
      <c r="B15" s="3" t="s">
        <v>210</v>
      </c>
      <c r="C15" s="3">
        <v>48.148899999999998</v>
      </c>
      <c r="D15" s="3">
        <v>11.5685</v>
      </c>
      <c r="H15" t="s">
        <v>630</v>
      </c>
      <c r="I15">
        <v>5</v>
      </c>
      <c r="J15" t="s">
        <v>210</v>
      </c>
      <c r="K15" t="s">
        <v>182</v>
      </c>
      <c r="L15">
        <v>3.4</v>
      </c>
      <c r="M15">
        <v>0.09</v>
      </c>
    </row>
    <row r="16" spans="1:14" x14ac:dyDescent="0.2">
      <c r="A16" t="s">
        <v>630</v>
      </c>
      <c r="B16" s="3" t="s">
        <v>218</v>
      </c>
      <c r="C16" s="3">
        <v>48.1755</v>
      </c>
      <c r="D16" s="3">
        <v>11.551600000000001</v>
      </c>
      <c r="H16" t="s">
        <v>630</v>
      </c>
      <c r="I16">
        <v>6</v>
      </c>
      <c r="J16" t="s">
        <v>182</v>
      </c>
      <c r="K16" t="s">
        <v>202</v>
      </c>
      <c r="L16">
        <v>4.7</v>
      </c>
      <c r="M16">
        <v>0.11</v>
      </c>
    </row>
    <row r="17" spans="1:13" x14ac:dyDescent="0.2">
      <c r="A17" t="s">
        <v>630</v>
      </c>
      <c r="B17" s="53" t="s">
        <v>634</v>
      </c>
      <c r="C17">
        <v>48.199857999999999</v>
      </c>
      <c r="D17">
        <v>11.577069</v>
      </c>
      <c r="H17" t="s">
        <v>630</v>
      </c>
      <c r="I17">
        <v>7</v>
      </c>
      <c r="J17" t="s">
        <v>202</v>
      </c>
      <c r="K17" t="s">
        <v>218</v>
      </c>
      <c r="L17">
        <v>4.75</v>
      </c>
      <c r="M17">
        <v>0.1</v>
      </c>
    </row>
    <row r="18" spans="1:13" x14ac:dyDescent="0.2">
      <c r="A18" t="s">
        <v>635</v>
      </c>
      <c r="B18" s="53" t="s">
        <v>632</v>
      </c>
      <c r="C18">
        <v>48.199857999999999</v>
      </c>
      <c r="D18">
        <v>11.577069</v>
      </c>
      <c r="H18" t="s">
        <v>630</v>
      </c>
      <c r="I18">
        <v>8</v>
      </c>
      <c r="J18" t="s">
        <v>218</v>
      </c>
      <c r="K18" t="s">
        <v>634</v>
      </c>
      <c r="L18">
        <v>5.79</v>
      </c>
      <c r="M18">
        <v>0.13</v>
      </c>
    </row>
    <row r="19" spans="1:13" x14ac:dyDescent="0.2">
      <c r="A19" t="s">
        <v>635</v>
      </c>
      <c r="B19" s="3" t="s">
        <v>170</v>
      </c>
      <c r="C19" s="3">
        <v>48.142400000000002</v>
      </c>
      <c r="D19" s="3">
        <v>11.4612</v>
      </c>
      <c r="H19" t="s">
        <v>635</v>
      </c>
      <c r="I19">
        <v>1</v>
      </c>
      <c r="J19" t="s">
        <v>632</v>
      </c>
      <c r="K19" t="s">
        <v>170</v>
      </c>
      <c r="L19">
        <v>15.07</v>
      </c>
      <c r="M19">
        <v>0.33</v>
      </c>
    </row>
    <row r="20" spans="1:13" x14ac:dyDescent="0.2">
      <c r="A20" t="s">
        <v>635</v>
      </c>
      <c r="B20" s="3" t="s">
        <v>174</v>
      </c>
      <c r="C20" s="3">
        <v>48.118899999999996</v>
      </c>
      <c r="D20" s="3">
        <v>11.604799999999999</v>
      </c>
      <c r="H20" t="s">
        <v>635</v>
      </c>
      <c r="I20">
        <v>2</v>
      </c>
      <c r="J20" t="s">
        <v>170</v>
      </c>
      <c r="K20" t="s">
        <v>190</v>
      </c>
      <c r="L20">
        <v>11.87</v>
      </c>
      <c r="M20">
        <v>0.24</v>
      </c>
    </row>
    <row r="21" spans="1:13" x14ac:dyDescent="0.2">
      <c r="A21" t="s">
        <v>635</v>
      </c>
      <c r="B21" s="3" t="s">
        <v>178</v>
      </c>
      <c r="C21" s="3">
        <v>48.1297</v>
      </c>
      <c r="D21" s="3">
        <v>11.5764</v>
      </c>
      <c r="H21" t="s">
        <v>635</v>
      </c>
      <c r="I21">
        <v>3</v>
      </c>
      <c r="J21" t="s">
        <v>190</v>
      </c>
      <c r="K21" t="s">
        <v>194</v>
      </c>
      <c r="L21">
        <v>2.86</v>
      </c>
      <c r="M21">
        <v>7.0000000000000007E-2</v>
      </c>
    </row>
    <row r="22" spans="1:13" x14ac:dyDescent="0.2">
      <c r="A22" t="s">
        <v>635</v>
      </c>
      <c r="B22" s="3" t="s">
        <v>186</v>
      </c>
      <c r="C22" s="3">
        <v>48.147799999999997</v>
      </c>
      <c r="D22" s="3">
        <v>11.610099999999999</v>
      </c>
      <c r="H22" t="s">
        <v>635</v>
      </c>
      <c r="I22">
        <v>4</v>
      </c>
      <c r="J22" t="s">
        <v>194</v>
      </c>
      <c r="K22" t="s">
        <v>178</v>
      </c>
      <c r="L22">
        <v>1.95</v>
      </c>
      <c r="M22">
        <v>0.05</v>
      </c>
    </row>
    <row r="23" spans="1:13" x14ac:dyDescent="0.2">
      <c r="A23" t="s">
        <v>635</v>
      </c>
      <c r="B23" s="3" t="s">
        <v>190</v>
      </c>
      <c r="C23" s="3">
        <v>48.1218</v>
      </c>
      <c r="D23" s="3">
        <v>11.553100000000001</v>
      </c>
      <c r="H23" t="s">
        <v>635</v>
      </c>
      <c r="I23">
        <v>5</v>
      </c>
      <c r="J23" t="s">
        <v>178</v>
      </c>
      <c r="K23" t="s">
        <v>206</v>
      </c>
      <c r="L23">
        <v>2.81</v>
      </c>
      <c r="M23">
        <v>0.11</v>
      </c>
    </row>
    <row r="24" spans="1:13" x14ac:dyDescent="0.2">
      <c r="A24" t="s">
        <v>635</v>
      </c>
      <c r="B24" s="3" t="s">
        <v>194</v>
      </c>
      <c r="C24" s="3">
        <v>48.115499999999997</v>
      </c>
      <c r="D24" s="3">
        <v>11.579800000000001</v>
      </c>
      <c r="H24" t="s">
        <v>635</v>
      </c>
      <c r="I24">
        <v>6</v>
      </c>
      <c r="J24" t="s">
        <v>206</v>
      </c>
      <c r="K24" t="s">
        <v>174</v>
      </c>
      <c r="L24">
        <v>1.73</v>
      </c>
      <c r="M24">
        <v>0.06</v>
      </c>
    </row>
    <row r="25" spans="1:13" x14ac:dyDescent="0.2">
      <c r="A25" t="s">
        <v>635</v>
      </c>
      <c r="B25" s="3" t="s">
        <v>206</v>
      </c>
      <c r="C25" s="3">
        <v>48.130499999999998</v>
      </c>
      <c r="D25" s="3">
        <v>11.5991</v>
      </c>
      <c r="H25" t="s">
        <v>635</v>
      </c>
      <c r="I25">
        <v>7</v>
      </c>
      <c r="J25" t="s">
        <v>174</v>
      </c>
      <c r="K25" t="s">
        <v>214</v>
      </c>
      <c r="L25">
        <v>3.11</v>
      </c>
      <c r="M25">
        <v>7.0000000000000007E-2</v>
      </c>
    </row>
    <row r="26" spans="1:13" x14ac:dyDescent="0.2">
      <c r="A26" t="s">
        <v>635</v>
      </c>
      <c r="B26" s="3" t="s">
        <v>214</v>
      </c>
      <c r="C26" s="3">
        <v>48.101500000000001</v>
      </c>
      <c r="D26" s="3">
        <v>11.627800000000001</v>
      </c>
      <c r="H26" t="s">
        <v>635</v>
      </c>
      <c r="I26">
        <v>8</v>
      </c>
      <c r="J26" t="s">
        <v>214</v>
      </c>
      <c r="K26" t="s">
        <v>186</v>
      </c>
      <c r="L26">
        <v>6.52</v>
      </c>
      <c r="M26">
        <v>0.14000000000000001</v>
      </c>
    </row>
    <row r="27" spans="1:13" x14ac:dyDescent="0.2">
      <c r="A27" t="s">
        <v>635</v>
      </c>
      <c r="B27" s="53" t="s">
        <v>633</v>
      </c>
      <c r="C27">
        <v>48.199857999999999</v>
      </c>
      <c r="D27">
        <v>11.577069</v>
      </c>
      <c r="H27" t="s">
        <v>635</v>
      </c>
      <c r="I27">
        <v>9</v>
      </c>
      <c r="J27" t="s">
        <v>186</v>
      </c>
      <c r="K27" t="s">
        <v>633</v>
      </c>
      <c r="L27">
        <v>8.59</v>
      </c>
      <c r="M27">
        <v>0.2</v>
      </c>
    </row>
  </sheetData>
  <pageMargins left="0.7" right="0.7" top="0.78740157499999996" bottom="0.78740157499999996" header="0.3" footer="0.3"/>
  <tableParts count="3">
    <tablePart r:id="rId1"/>
    <tablePart r:id="rId2"/>
    <tablePart r:id="rId3"/>
  </tableParts>
  <extLst>
    <ext xmlns:x15="http://schemas.microsoft.com/office/spreadsheetml/2010/11/main" uri="{F7C9EE02-42E1-4005-9D12-6889AFFD525C}">
      <x15:webExtensions xmlns:xm="http://schemas.microsoft.com/office/excel/2006/main">
        <x15:webExtension appRef="{A6AFEBEC-F5E4-2A49-B394-105143985806}">
          <xm:f>Tabelle15[#All]</xm:f>
        </x15:webExtension>
        <x15:webExtension appRef="{FDAFD192-4D8C-BB4A-8717-4E093EBC77AD}">
          <xm:f>Tabelle16[#All]</xm:f>
        </x15:webExtension>
      </x15:webExtens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13</vt:i4>
      </vt:variant>
    </vt:vector>
  </HeadingPairs>
  <TitlesOfParts>
    <vt:vector size="13" baseType="lpstr">
      <vt:lpstr>Company_Info</vt:lpstr>
      <vt:lpstr>Customers</vt:lpstr>
      <vt:lpstr>Products_SKU</vt:lpstr>
      <vt:lpstr>Inventory_Costs</vt:lpstr>
      <vt:lpstr>Order_History_2024</vt:lpstr>
      <vt:lpstr>ABC_XYZ_Analysis</vt:lpstr>
      <vt:lpstr>Current_Routes</vt:lpstr>
      <vt:lpstr>Transport_Costs</vt:lpstr>
      <vt:lpstr>As-Is_KPIs</vt:lpstr>
      <vt:lpstr>Route_Optimization</vt:lpstr>
      <vt:lpstr>Inventory_Optimization</vt:lpstr>
      <vt:lpstr>LogHub_Output_All</vt:lpstr>
      <vt:lpstr>LogHub_Output_MUC_1&amp;2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Rafael Oliveira</cp:lastModifiedBy>
  <cp:revision>0</cp:revision>
  <dcterms:created xsi:type="dcterms:W3CDTF">2026-06-10T18:28:09Z</dcterms:created>
  <dcterms:modified xsi:type="dcterms:W3CDTF">2026-06-15T22:25:15Z</dcterms:modified>
  <dc:language>en-US</dc:language>
</cp:coreProperties>
</file>